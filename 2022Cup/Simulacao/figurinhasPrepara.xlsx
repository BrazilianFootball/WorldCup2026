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wsan\Dropbox\PC\Desktop\"/>
    </mc:Choice>
  </mc:AlternateContent>
  <xr:revisionPtr revIDLastSave="0" documentId="8_{F96738BA-1A7C-46F9-9E2D-27F7D4A9111B}" xr6:coauthVersionLast="47" xr6:coauthVersionMax="47" xr10:uidLastSave="{00000000-0000-0000-0000-000000000000}"/>
  <bookViews>
    <workbookView xWindow="1755" yWindow="1500" windowWidth="25965" windowHeight="11835" xr2:uid="{609B0589-A38B-4756-A715-1E46C924B4D5}"/>
  </bookViews>
  <sheets>
    <sheet name="Oitava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" i="1" l="1"/>
  <c r="L4" i="1"/>
  <c r="M4" i="1"/>
  <c r="K5" i="1"/>
  <c r="L5" i="1"/>
  <c r="M5" i="1"/>
  <c r="K6" i="1"/>
  <c r="L6" i="1"/>
  <c r="M6" i="1"/>
  <c r="K7" i="1"/>
  <c r="L7" i="1"/>
  <c r="M7" i="1"/>
  <c r="K8" i="1"/>
  <c r="L8" i="1"/>
  <c r="M8" i="1"/>
  <c r="K9" i="1"/>
  <c r="L9" i="1"/>
  <c r="M9" i="1"/>
  <c r="K10" i="1"/>
  <c r="L10" i="1"/>
  <c r="M10" i="1"/>
  <c r="K11" i="1"/>
  <c r="L11" i="1"/>
  <c r="M11" i="1"/>
  <c r="J5" i="1"/>
  <c r="J6" i="1"/>
  <c r="J7" i="1"/>
  <c r="J8" i="1"/>
  <c r="J9" i="1"/>
  <c r="J10" i="1"/>
  <c r="J11" i="1"/>
  <c r="J4" i="1"/>
  <c r="C4" i="1"/>
  <c r="T4" i="1" s="1"/>
  <c r="F15" i="1"/>
  <c r="F16" i="1"/>
  <c r="D9" i="1" s="1"/>
  <c r="F17" i="1"/>
  <c r="F18" i="1"/>
  <c r="C9" i="1" s="1"/>
  <c r="T9" i="1" s="1"/>
  <c r="F19" i="1"/>
  <c r="F20" i="1"/>
  <c r="D4" i="1" s="1"/>
  <c r="F21" i="1"/>
  <c r="F22" i="1"/>
  <c r="C5" i="1" s="1"/>
  <c r="T5" i="1" s="1"/>
  <c r="F23" i="1"/>
  <c r="F24" i="1"/>
  <c r="F25" i="1"/>
  <c r="D8" i="1" s="1"/>
  <c r="F26" i="1"/>
  <c r="C8" i="1" s="1"/>
  <c r="T8" i="1" s="1"/>
  <c r="F27" i="1"/>
  <c r="D5" i="1" s="1"/>
  <c r="F28" i="1"/>
  <c r="F29" i="1"/>
  <c r="F30" i="1"/>
  <c r="D10" i="1" s="1"/>
  <c r="F31" i="1"/>
  <c r="F32" i="1"/>
  <c r="F33" i="1"/>
  <c r="C6" i="1" s="1"/>
  <c r="F34" i="1"/>
  <c r="F35" i="1"/>
  <c r="F36" i="1"/>
  <c r="C10" i="1" s="1"/>
  <c r="T10" i="1" s="1"/>
  <c r="F37" i="1"/>
  <c r="D6" i="1" s="1"/>
  <c r="F38" i="1"/>
  <c r="C7" i="1" s="1"/>
  <c r="T7" i="1" s="1"/>
  <c r="F39" i="1"/>
  <c r="F40" i="1"/>
  <c r="D11" i="1" s="1"/>
  <c r="F41" i="1"/>
  <c r="F42" i="1"/>
  <c r="C11" i="1" s="1"/>
  <c r="T11" i="1" s="1"/>
  <c r="F43" i="1"/>
  <c r="F44" i="1"/>
  <c r="F45" i="1"/>
  <c r="D7" i="1" s="1"/>
  <c r="F14" i="1"/>
  <c r="T6" i="1" l="1"/>
</calcChain>
</file>

<file path=xl/sharedStrings.xml><?xml version="1.0" encoding="utf-8"?>
<sst xmlns="http://schemas.openxmlformats.org/spreadsheetml/2006/main" count="172" uniqueCount="142">
  <si>
    <t>HOLANDA</t>
  </si>
  <si>
    <t>ESTADOS UNIDOS</t>
  </si>
  <si>
    <t>ARGENTINA</t>
  </si>
  <si>
    <t>AUSTRÁLIA</t>
  </si>
  <si>
    <t>JAPÃO</t>
  </si>
  <si>
    <t>CROÁCIA</t>
  </si>
  <si>
    <t>BRASIL</t>
  </si>
  <si>
    <t>COREIA DO SUL</t>
  </si>
  <si>
    <t>FRANÇA</t>
  </si>
  <si>
    <t>POLÔNIA</t>
  </si>
  <si>
    <t>INGLATERRA</t>
  </si>
  <si>
    <t>SENEGAL</t>
  </si>
  <si>
    <t>MARROCOS</t>
  </si>
  <si>
    <t>ESPANHA</t>
  </si>
  <si>
    <t>PORTUGAL</t>
  </si>
  <si>
    <t>SUÍÇA</t>
  </si>
  <si>
    <t>QAT</t>
  </si>
  <si>
    <t>Qatar</t>
  </si>
  <si>
    <t>ECU</t>
  </si>
  <si>
    <t>Ecuador</t>
  </si>
  <si>
    <t>SEN</t>
  </si>
  <si>
    <t>NED</t>
  </si>
  <si>
    <t>ENG</t>
  </si>
  <si>
    <t>IRN</t>
  </si>
  <si>
    <t>Iran</t>
  </si>
  <si>
    <t>USA</t>
  </si>
  <si>
    <t>WAL</t>
  </si>
  <si>
    <t>Wales</t>
  </si>
  <si>
    <t>ARG</t>
  </si>
  <si>
    <t>KSA</t>
  </si>
  <si>
    <t>Saudi Arabia</t>
  </si>
  <si>
    <t>MEX</t>
  </si>
  <si>
    <t>Mexico</t>
  </si>
  <si>
    <t>POL</t>
  </si>
  <si>
    <t>FRA</t>
  </si>
  <si>
    <t>AUS</t>
  </si>
  <si>
    <t>DEN</t>
  </si>
  <si>
    <t>Denmark</t>
  </si>
  <si>
    <t>TUN</t>
  </si>
  <si>
    <t>Tunisia</t>
  </si>
  <si>
    <t>ESP</t>
  </si>
  <si>
    <t>CRC</t>
  </si>
  <si>
    <t>Costa Rica</t>
  </si>
  <si>
    <t>GER</t>
  </si>
  <si>
    <t>Germany</t>
  </si>
  <si>
    <t>JPN</t>
  </si>
  <si>
    <t>BEL</t>
  </si>
  <si>
    <t>Belgium</t>
  </si>
  <si>
    <t>CAN</t>
  </si>
  <si>
    <t>Canada</t>
  </si>
  <si>
    <t>MAR</t>
  </si>
  <si>
    <t>CRO</t>
  </si>
  <si>
    <t>BRA</t>
  </si>
  <si>
    <t>SRB</t>
  </si>
  <si>
    <t>Serbia</t>
  </si>
  <si>
    <t>SUI</t>
  </si>
  <si>
    <t>CMR</t>
  </si>
  <si>
    <t>Cameroon</t>
  </si>
  <si>
    <t>POR</t>
  </si>
  <si>
    <t>GHA</t>
  </si>
  <si>
    <t>Ghana</t>
  </si>
  <si>
    <t>URU</t>
  </si>
  <si>
    <t>KOR</t>
  </si>
  <si>
    <t>URUGUAI</t>
  </si>
  <si>
    <t>SEL1</t>
  </si>
  <si>
    <t>SEL2</t>
  </si>
  <si>
    <t>COD1</t>
  </si>
  <si>
    <t>COD2</t>
  </si>
  <si>
    <t>ALFA1</t>
  </si>
  <si>
    <t>BETA1</t>
  </si>
  <si>
    <t>ALFA2</t>
  </si>
  <si>
    <t>BETA2</t>
  </si>
  <si>
    <t>"</t>
  </si>
  <si>
    <t>,</t>
  </si>
  <si>
    <t>2,8680411</t>
  </si>
  <si>
    <t>2,5012301</t>
  </si>
  <si>
    <t>1,5218207</t>
  </si>
  <si>
    <t>2,4897686</t>
  </si>
  <si>
    <t>2,7509797</t>
  </si>
  <si>
    <t>3,363779</t>
  </si>
  <si>
    <t>1,6427147</t>
  </si>
  <si>
    <t>1,7718426</t>
  </si>
  <si>
    <t>1,9638616</t>
  </si>
  <si>
    <t>2,2343138</t>
  </si>
  <si>
    <t>2,4014045</t>
  </si>
  <si>
    <t>2,167201</t>
  </si>
  <si>
    <t>2,9235103</t>
  </si>
  <si>
    <t>5,9757602</t>
  </si>
  <si>
    <t>1,687641</t>
  </si>
  <si>
    <t>1,808989</t>
  </si>
  <si>
    <t>3,0713668</t>
  </si>
  <si>
    <t>2,1381048</t>
  </si>
  <si>
    <t>2,0494314</t>
  </si>
  <si>
    <t>1,6911287</t>
  </si>
  <si>
    <t>3,3260984</t>
  </si>
  <si>
    <t>2,4228409</t>
  </si>
  <si>
    <t>1,8677611</t>
  </si>
  <si>
    <t>1,8309102</t>
  </si>
  <si>
    <t>2,2470444</t>
  </si>
  <si>
    <t>3,1440148</t>
  </si>
  <si>
    <t>3,4440189</t>
  </si>
  <si>
    <t>2,463000</t>
  </si>
  <si>
    <t>3,0763805</t>
  </si>
  <si>
    <t>2,2281934</t>
  </si>
  <si>
    <t>2,4066802</t>
  </si>
  <si>
    <t>2,127600</t>
  </si>
  <si>
    <t>2.8680411</t>
  </si>
  <si>
    <t>1.9638616</t>
  </si>
  <si>
    <t>2.7509797</t>
  </si>
  <si>
    <t>2.9235103</t>
  </si>
  <si>
    <t>3.0713668</t>
  </si>
  <si>
    <t>3.3260984</t>
  </si>
  <si>
    <t>2.2470444</t>
  </si>
  <si>
    <t>3.0763805</t>
  </si>
  <si>
    <t>2.2281934</t>
  </si>
  <si>
    <t>2.5012301</t>
  </si>
  <si>
    <t>3.363779</t>
  </si>
  <si>
    <t>2.2343138</t>
  </si>
  <si>
    <t>5.9757602</t>
  </si>
  <si>
    <t>2.4228409</t>
  </si>
  <si>
    <t>3.1440148</t>
  </si>
  <si>
    <t>1.5218207</t>
  </si>
  <si>
    <t>1.6427147</t>
  </si>
  <si>
    <t>2.4014045</t>
  </si>
  <si>
    <t>1.687641</t>
  </si>
  <si>
    <t>2.0494314</t>
  </si>
  <si>
    <t>1.8677611</t>
  </si>
  <si>
    <t>3.4440189</t>
  </si>
  <si>
    <t>2.4066802</t>
  </si>
  <si>
    <t>2.4897686</t>
  </si>
  <si>
    <t>1.7718426</t>
  </si>
  <si>
    <t>2.167201</t>
  </si>
  <si>
    <t>1.808989</t>
  </si>
  <si>
    <t>1.6911287</t>
  </si>
  <si>
    <t>1.8309102</t>
  </si>
  <si>
    <t>2.463000</t>
  </si>
  <si>
    <t>2.127600</t>
  </si>
  <si>
    <t>2.1381048</t>
  </si>
  <si>
    <t>Prepara Figurinhas: Oitavas de final 2022</t>
  </si>
  <si>
    <t>Grupos Copa (nomes em português)</t>
  </si>
  <si>
    <t>Parâmetros pós 1ª fase</t>
  </si>
  <si>
    <t>Texto para rodar as figurinhas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</si>
</sst>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2EE6F-E9B0-4E2A-84E3-1DADE0D28637}">
  <dimension ref="A1:T45"/>
  <sheetViews>
    <sheetView tabSelected="1" workbookViewId="0">
      <selection activeCell="T4" sqref="T4"/>
    </sheetView>
  </sheetViews>
  <sheetFormatPr defaultRowHeight="15" x14ac:dyDescent="0.25"/>
  <cols>
    <col min="1" max="1" width="12" bestFit="1" customWidth="1"/>
    <col min="2" max="2" width="16.5703125" bestFit="1" customWidth="1"/>
    <col min="8" max="8" width="9.140625" customWidth="1"/>
    <col min="9" max="9" width="1.140625" customWidth="1"/>
    <col min="10" max="10" width="11.5703125" customWidth="1"/>
    <col min="18" max="19" width="3" customWidth="1"/>
  </cols>
  <sheetData>
    <row r="1" spans="1:20" x14ac:dyDescent="0.25">
      <c r="A1" t="s">
        <v>138</v>
      </c>
    </row>
    <row r="3" spans="1:20" x14ac:dyDescent="0.25">
      <c r="A3" t="s">
        <v>64</v>
      </c>
      <c r="B3" t="s">
        <v>65</v>
      </c>
      <c r="C3" t="s">
        <v>66</v>
      </c>
      <c r="D3" t="s">
        <v>67</v>
      </c>
      <c r="E3" t="s">
        <v>68</v>
      </c>
      <c r="F3" t="s">
        <v>69</v>
      </c>
      <c r="G3" t="s">
        <v>70</v>
      </c>
      <c r="H3" t="s">
        <v>71</v>
      </c>
      <c r="T3" t="s">
        <v>141</v>
      </c>
    </row>
    <row r="4" spans="1:20" x14ac:dyDescent="0.25">
      <c r="A4" t="s">
        <v>0</v>
      </c>
      <c r="B4" t="s">
        <v>1</v>
      </c>
      <c r="C4" t="str">
        <f>VLOOKUP(A4,$B$14:$F$45,5,0)</f>
        <v>NED</v>
      </c>
      <c r="D4" t="str">
        <f>VLOOKUP(B4,$B$14:$F$45,5,0)</f>
        <v>USA</v>
      </c>
      <c r="E4" t="s">
        <v>74</v>
      </c>
      <c r="F4" t="s">
        <v>75</v>
      </c>
      <c r="G4" t="s">
        <v>76</v>
      </c>
      <c r="H4" t="s">
        <v>77</v>
      </c>
      <c r="J4" t="str">
        <f>$R4&amp;E4&amp;$R4</f>
        <v>"2,8680411"</v>
      </c>
      <c r="K4" t="str">
        <f>$R4&amp;F4&amp;$R4</f>
        <v>"2,5012301"</v>
      </c>
      <c r="L4" t="str">
        <f>$R4&amp;G4&amp;$R4</f>
        <v>"1,5218207"</v>
      </c>
      <c r="M4" t="str">
        <f>$R4&amp;H4&amp;$R4</f>
        <v>"2,4897686"</v>
      </c>
      <c r="N4" s="1" t="s">
        <v>106</v>
      </c>
      <c r="O4" s="1" t="s">
        <v>115</v>
      </c>
      <c r="P4" s="1" t="s">
        <v>121</v>
      </c>
      <c r="Q4" s="1" t="s">
        <v>129</v>
      </c>
      <c r="R4" t="s">
        <v>72</v>
      </c>
      <c r="S4" t="s">
        <v>73</v>
      </c>
      <c r="T4" t="str">
        <f>R4&amp;A4&amp;R4&amp;S4&amp;R4&amp;B4&amp;R4&amp;S4&amp;R4&amp;C4&amp;R4&amp;S4&amp;R4&amp;D4&amp;R4&amp;S4&amp;N4&amp;S4&amp;O4&amp;S4&amp;P4&amp;S4&amp;Q4</f>
        <v>"HOLANDA","ESTADOS UNIDOS","NED","USA",2.8680411,2.5012301,1.5218207,2.4897686</v>
      </c>
    </row>
    <row r="5" spans="1:20" x14ac:dyDescent="0.25">
      <c r="A5" t="s">
        <v>2</v>
      </c>
      <c r="B5" t="s">
        <v>3</v>
      </c>
      <c r="C5" t="str">
        <f t="shared" ref="C5:D11" si="0">VLOOKUP(A5,$B$14:$F$45,5,0)</f>
        <v>ARG</v>
      </c>
      <c r="D5" t="str">
        <f t="shared" si="0"/>
        <v>AUS</v>
      </c>
      <c r="E5" t="s">
        <v>78</v>
      </c>
      <c r="F5" t="s">
        <v>79</v>
      </c>
      <c r="G5" t="s">
        <v>80</v>
      </c>
      <c r="H5" t="s">
        <v>81</v>
      </c>
      <c r="J5" t="str">
        <f t="shared" ref="J5:J11" si="1">$R5&amp;E5&amp;$R5</f>
        <v>"2,7509797"</v>
      </c>
      <c r="K5" t="str">
        <f>$R5&amp;F5&amp;$R5</f>
        <v>"3,363779"</v>
      </c>
      <c r="L5" t="str">
        <f>$R5&amp;G5&amp;$R5</f>
        <v>"1,6427147"</v>
      </c>
      <c r="M5" t="str">
        <f>$R5&amp;H5&amp;$R5</f>
        <v>"1,7718426"</v>
      </c>
      <c r="N5" s="1" t="s">
        <v>108</v>
      </c>
      <c r="O5" s="1" t="s">
        <v>116</v>
      </c>
      <c r="P5" s="1" t="s">
        <v>122</v>
      </c>
      <c r="Q5" s="1" t="s">
        <v>130</v>
      </c>
      <c r="R5" t="s">
        <v>72</v>
      </c>
      <c r="S5" t="s">
        <v>73</v>
      </c>
      <c r="T5" t="str">
        <f t="shared" ref="T5:T11" si="2">R5&amp;A5&amp;R5&amp;S5&amp;R5&amp;B5&amp;R5&amp;S5&amp;R5&amp;C5&amp;R5&amp;S5&amp;R5&amp;D5&amp;R5&amp;S5&amp;N5&amp;S5&amp;O5&amp;S5&amp;P5&amp;S5&amp;Q5</f>
        <v>"ARGENTINA","AUSTRÁLIA","ARG","AUS",2.7509797,3.363779,1.6427147,1.7718426</v>
      </c>
    </row>
    <row r="6" spans="1:20" x14ac:dyDescent="0.25">
      <c r="A6" t="s">
        <v>4</v>
      </c>
      <c r="B6" t="s">
        <v>5</v>
      </c>
      <c r="C6" t="str">
        <f t="shared" si="0"/>
        <v>JPN</v>
      </c>
      <c r="D6" t="str">
        <f t="shared" si="0"/>
        <v>CRO</v>
      </c>
      <c r="E6" t="s">
        <v>82</v>
      </c>
      <c r="F6" t="s">
        <v>83</v>
      </c>
      <c r="G6" t="s">
        <v>84</v>
      </c>
      <c r="H6" t="s">
        <v>85</v>
      </c>
      <c r="J6" t="str">
        <f t="shared" si="1"/>
        <v>"1,9638616"</v>
      </c>
      <c r="K6" t="str">
        <f>$R6&amp;F6&amp;$R6</f>
        <v>"2,2343138"</v>
      </c>
      <c r="L6" t="str">
        <f>$R6&amp;G6&amp;$R6</f>
        <v>"2,4014045"</v>
      </c>
      <c r="M6" t="str">
        <f>$R6&amp;H6&amp;$R6</f>
        <v>"2,167201"</v>
      </c>
      <c r="N6" s="1" t="s">
        <v>107</v>
      </c>
      <c r="O6" s="1" t="s">
        <v>117</v>
      </c>
      <c r="P6" s="1" t="s">
        <v>123</v>
      </c>
      <c r="Q6" s="1" t="s">
        <v>131</v>
      </c>
      <c r="R6" t="s">
        <v>72</v>
      </c>
      <c r="S6" t="s">
        <v>73</v>
      </c>
      <c r="T6" t="str">
        <f t="shared" si="2"/>
        <v>"JAPÃO","CROÁCIA","JPN","CRO",1.9638616,2.2343138,2.4014045,2.167201</v>
      </c>
    </row>
    <row r="7" spans="1:20" x14ac:dyDescent="0.25">
      <c r="A7" t="s">
        <v>6</v>
      </c>
      <c r="B7" t="s">
        <v>7</v>
      </c>
      <c r="C7" t="str">
        <f t="shared" si="0"/>
        <v>BRA</v>
      </c>
      <c r="D7" t="str">
        <f t="shared" si="0"/>
        <v>KOR</v>
      </c>
      <c r="E7" t="s">
        <v>86</v>
      </c>
      <c r="F7" t="s">
        <v>87</v>
      </c>
      <c r="G7" t="s">
        <v>88</v>
      </c>
      <c r="H7" t="s">
        <v>89</v>
      </c>
      <c r="J7" t="str">
        <f t="shared" si="1"/>
        <v>"2,9235103"</v>
      </c>
      <c r="K7" t="str">
        <f>$R7&amp;F7&amp;$R7</f>
        <v>"5,9757602"</v>
      </c>
      <c r="L7" t="str">
        <f>$R7&amp;G7&amp;$R7</f>
        <v>"1,687641"</v>
      </c>
      <c r="M7" t="str">
        <f>$R7&amp;H7&amp;$R7</f>
        <v>"1,808989"</v>
      </c>
      <c r="N7" s="1" t="s">
        <v>109</v>
      </c>
      <c r="O7" s="1" t="s">
        <v>118</v>
      </c>
      <c r="P7" s="1" t="s">
        <v>124</v>
      </c>
      <c r="Q7" s="1" t="s">
        <v>132</v>
      </c>
      <c r="R7" t="s">
        <v>72</v>
      </c>
      <c r="S7" t="s">
        <v>73</v>
      </c>
      <c r="T7" t="str">
        <f t="shared" si="2"/>
        <v>"BRASIL","COREIA DO SUL","BRA","KOR",2.9235103,5.9757602,1.687641,1.808989</v>
      </c>
    </row>
    <row r="8" spans="1:20" x14ac:dyDescent="0.25">
      <c r="A8" t="s">
        <v>8</v>
      </c>
      <c r="B8" t="s">
        <v>9</v>
      </c>
      <c r="C8" t="str">
        <f t="shared" si="0"/>
        <v>FRA</v>
      </c>
      <c r="D8" t="str">
        <f t="shared" si="0"/>
        <v>POL</v>
      </c>
      <c r="E8" t="s">
        <v>90</v>
      </c>
      <c r="F8" t="s">
        <v>91</v>
      </c>
      <c r="G8" t="s">
        <v>92</v>
      </c>
      <c r="H8" t="s">
        <v>93</v>
      </c>
      <c r="J8" t="str">
        <f t="shared" si="1"/>
        <v>"3,0713668"</v>
      </c>
      <c r="K8" t="str">
        <f>$R8&amp;F8&amp;$R8</f>
        <v>"2,1381048"</v>
      </c>
      <c r="L8" t="str">
        <f>$R8&amp;G8&amp;$R8</f>
        <v>"2,0494314"</v>
      </c>
      <c r="M8" t="str">
        <f>$R8&amp;H8&amp;$R8</f>
        <v>"1,6911287"</v>
      </c>
      <c r="N8" s="1" t="s">
        <v>110</v>
      </c>
      <c r="O8" s="1" t="s">
        <v>137</v>
      </c>
      <c r="P8" s="1" t="s">
        <v>125</v>
      </c>
      <c r="Q8" s="1" t="s">
        <v>133</v>
      </c>
      <c r="R8" t="s">
        <v>72</v>
      </c>
      <c r="S8" t="s">
        <v>73</v>
      </c>
      <c r="T8" t="str">
        <f t="shared" si="2"/>
        <v>"FRANÇA","POLÔNIA","FRA","POL",3.0713668,2.1381048,2.0494314,1.6911287</v>
      </c>
    </row>
    <row r="9" spans="1:20" x14ac:dyDescent="0.25">
      <c r="A9" t="s">
        <v>10</v>
      </c>
      <c r="B9" t="s">
        <v>11</v>
      </c>
      <c r="C9" t="str">
        <f t="shared" si="0"/>
        <v>ENG</v>
      </c>
      <c r="D9" t="str">
        <f t="shared" si="0"/>
        <v>SEN</v>
      </c>
      <c r="E9" t="s">
        <v>94</v>
      </c>
      <c r="F9" t="s">
        <v>95</v>
      </c>
      <c r="G9" t="s">
        <v>96</v>
      </c>
      <c r="H9" t="s">
        <v>97</v>
      </c>
      <c r="J9" t="str">
        <f t="shared" si="1"/>
        <v>"3,3260984"</v>
      </c>
      <c r="K9" t="str">
        <f>$R9&amp;F9&amp;$R9</f>
        <v>"2,4228409"</v>
      </c>
      <c r="L9" t="str">
        <f>$R9&amp;G9&amp;$R9</f>
        <v>"1,8677611"</v>
      </c>
      <c r="M9" t="str">
        <f>$R9&amp;H9&amp;$R9</f>
        <v>"1,8309102"</v>
      </c>
      <c r="N9" s="1" t="s">
        <v>111</v>
      </c>
      <c r="O9" s="1" t="s">
        <v>119</v>
      </c>
      <c r="P9" s="1" t="s">
        <v>126</v>
      </c>
      <c r="Q9" s="1" t="s">
        <v>134</v>
      </c>
      <c r="R9" t="s">
        <v>72</v>
      </c>
      <c r="S9" t="s">
        <v>73</v>
      </c>
      <c r="T9" t="str">
        <f t="shared" si="2"/>
        <v>"INGLATERRA","SENEGAL","ENG","SEN",3.3260984,2.4228409,1.8677611,1.8309102</v>
      </c>
    </row>
    <row r="10" spans="1:20" x14ac:dyDescent="0.25">
      <c r="A10" t="s">
        <v>12</v>
      </c>
      <c r="B10" t="s">
        <v>13</v>
      </c>
      <c r="C10" t="str">
        <f t="shared" si="0"/>
        <v>MAR</v>
      </c>
      <c r="D10" t="str">
        <f t="shared" si="0"/>
        <v>ESP</v>
      </c>
      <c r="E10" t="s">
        <v>98</v>
      </c>
      <c r="F10" t="s">
        <v>99</v>
      </c>
      <c r="G10" t="s">
        <v>100</v>
      </c>
      <c r="H10" t="s">
        <v>101</v>
      </c>
      <c r="J10" t="str">
        <f t="shared" si="1"/>
        <v>"2,2470444"</v>
      </c>
      <c r="K10" t="str">
        <f>$R10&amp;F10&amp;$R10</f>
        <v>"3,1440148"</v>
      </c>
      <c r="L10" t="str">
        <f>$R10&amp;G10&amp;$R10</f>
        <v>"3,4440189"</v>
      </c>
      <c r="M10" t="str">
        <f>$R10&amp;H10&amp;$R10</f>
        <v>"2,463000"</v>
      </c>
      <c r="N10" s="1" t="s">
        <v>112</v>
      </c>
      <c r="O10" s="1" t="s">
        <v>120</v>
      </c>
      <c r="P10" s="1" t="s">
        <v>127</v>
      </c>
      <c r="Q10" s="1" t="s">
        <v>135</v>
      </c>
      <c r="R10" t="s">
        <v>72</v>
      </c>
      <c r="S10" t="s">
        <v>73</v>
      </c>
      <c r="T10" t="str">
        <f t="shared" si="2"/>
        <v>"MARROCOS","ESPANHA","MAR","ESP",2.2470444,3.1440148,3.4440189,2.463000</v>
      </c>
    </row>
    <row r="11" spans="1:20" x14ac:dyDescent="0.25">
      <c r="A11" t="s">
        <v>14</v>
      </c>
      <c r="B11" t="s">
        <v>15</v>
      </c>
      <c r="C11" t="str">
        <f t="shared" si="0"/>
        <v>POR</v>
      </c>
      <c r="D11" t="str">
        <f t="shared" si="0"/>
        <v>SUI</v>
      </c>
      <c r="E11" t="s">
        <v>102</v>
      </c>
      <c r="F11" t="s">
        <v>103</v>
      </c>
      <c r="G11" t="s">
        <v>104</v>
      </c>
      <c r="H11" t="s">
        <v>105</v>
      </c>
      <c r="J11" t="str">
        <f t="shared" si="1"/>
        <v>"3,0763805"</v>
      </c>
      <c r="K11" t="str">
        <f>$R11&amp;F11&amp;$R11</f>
        <v>"2,2281934"</v>
      </c>
      <c r="L11" t="str">
        <f>$R11&amp;G11&amp;$R11</f>
        <v>"2,4066802"</v>
      </c>
      <c r="M11" t="str">
        <f>$R11&amp;H11&amp;$R11</f>
        <v>"2,127600"</v>
      </c>
      <c r="N11" s="1" t="s">
        <v>113</v>
      </c>
      <c r="O11" s="1" t="s">
        <v>114</v>
      </c>
      <c r="P11" s="1" t="s">
        <v>128</v>
      </c>
      <c r="Q11" s="1" t="s">
        <v>136</v>
      </c>
      <c r="R11" t="s">
        <v>72</v>
      </c>
      <c r="S11" t="s">
        <v>73</v>
      </c>
      <c r="T11" t="str">
        <f t="shared" si="2"/>
        <v>"PORTUGAL","SUÍÇA","POR","SUI",3.0763805,2.2281934,2.4066802,2.127600</v>
      </c>
    </row>
    <row r="13" spans="1:20" x14ac:dyDescent="0.25">
      <c r="A13" t="s">
        <v>139</v>
      </c>
      <c r="G13" t="s">
        <v>140</v>
      </c>
    </row>
    <row r="14" spans="1:20" x14ac:dyDescent="0.25">
      <c r="A14" t="s">
        <v>16</v>
      </c>
      <c r="B14" t="s">
        <v>17</v>
      </c>
      <c r="C14">
        <v>182</v>
      </c>
      <c r="D14">
        <v>1</v>
      </c>
      <c r="E14">
        <v>9</v>
      </c>
      <c r="F14" t="str">
        <f>A14</f>
        <v>QAT</v>
      </c>
      <c r="G14">
        <v>1.4715765999999999</v>
      </c>
      <c r="H14">
        <v>1.1067157999999999</v>
      </c>
    </row>
    <row r="15" spans="1:20" x14ac:dyDescent="0.25">
      <c r="A15" t="s">
        <v>18</v>
      </c>
      <c r="B15" t="s">
        <v>19</v>
      </c>
      <c r="C15">
        <v>71</v>
      </c>
      <c r="D15">
        <v>2</v>
      </c>
      <c r="E15">
        <v>14</v>
      </c>
      <c r="F15" t="str">
        <f t="shared" ref="F15:F45" si="3">A15</f>
        <v>ECU</v>
      </c>
      <c r="G15">
        <v>2.0328148000000001</v>
      </c>
      <c r="H15">
        <v>1.8232893999999999</v>
      </c>
    </row>
    <row r="16" spans="1:20" x14ac:dyDescent="0.25">
      <c r="A16" t="s">
        <v>20</v>
      </c>
      <c r="B16" t="s">
        <v>11</v>
      </c>
      <c r="C16">
        <v>198</v>
      </c>
      <c r="D16">
        <v>3</v>
      </c>
      <c r="E16">
        <v>28</v>
      </c>
      <c r="F16" t="str">
        <f t="shared" si="3"/>
        <v>SEN</v>
      </c>
      <c r="G16">
        <v>1.8677611000000001</v>
      </c>
      <c r="H16">
        <v>1.8309101999999999</v>
      </c>
    </row>
    <row r="17" spans="1:8" x14ac:dyDescent="0.25">
      <c r="A17" t="s">
        <v>21</v>
      </c>
      <c r="B17" t="s">
        <v>0</v>
      </c>
      <c r="C17">
        <v>156</v>
      </c>
      <c r="D17">
        <v>4</v>
      </c>
      <c r="E17">
        <v>19</v>
      </c>
      <c r="F17" t="str">
        <f t="shared" si="3"/>
        <v>NED</v>
      </c>
      <c r="G17">
        <v>2.8680411000000001</v>
      </c>
      <c r="H17">
        <v>2.5012300999999999</v>
      </c>
    </row>
    <row r="18" spans="1:8" x14ac:dyDescent="0.25">
      <c r="A18" t="s">
        <v>22</v>
      </c>
      <c r="B18" t="s">
        <v>10</v>
      </c>
      <c r="C18">
        <v>74</v>
      </c>
      <c r="D18">
        <v>5</v>
      </c>
      <c r="E18">
        <v>20</v>
      </c>
      <c r="F18" t="str">
        <f t="shared" si="3"/>
        <v>ENG</v>
      </c>
      <c r="G18">
        <v>3.3260983999999998</v>
      </c>
      <c r="H18">
        <v>2.4228409000000002</v>
      </c>
    </row>
    <row r="19" spans="1:8" x14ac:dyDescent="0.25">
      <c r="A19" t="s">
        <v>23</v>
      </c>
      <c r="B19" t="s">
        <v>24</v>
      </c>
      <c r="C19">
        <v>108</v>
      </c>
      <c r="D19">
        <v>6</v>
      </c>
      <c r="E19">
        <v>21</v>
      </c>
      <c r="F19" t="str">
        <f t="shared" si="3"/>
        <v>IRN</v>
      </c>
      <c r="G19">
        <v>1.9323313</v>
      </c>
      <c r="H19">
        <v>1.2274495999999999</v>
      </c>
    </row>
    <row r="20" spans="1:8" x14ac:dyDescent="0.25">
      <c r="A20" t="s">
        <v>25</v>
      </c>
      <c r="B20" t="s">
        <v>1</v>
      </c>
      <c r="C20">
        <v>239</v>
      </c>
      <c r="D20">
        <v>7</v>
      </c>
      <c r="E20">
        <v>16</v>
      </c>
      <c r="F20" t="str">
        <f t="shared" si="3"/>
        <v>USA</v>
      </c>
      <c r="G20">
        <v>1.5218206999999999</v>
      </c>
      <c r="H20">
        <v>2.4897686000000001</v>
      </c>
    </row>
    <row r="21" spans="1:8" x14ac:dyDescent="0.25">
      <c r="A21" t="s">
        <v>26</v>
      </c>
      <c r="B21" t="s">
        <v>27</v>
      </c>
      <c r="C21">
        <v>246</v>
      </c>
      <c r="D21">
        <v>8</v>
      </c>
      <c r="E21">
        <v>25</v>
      </c>
      <c r="F21" t="str">
        <f t="shared" si="3"/>
        <v>WAL</v>
      </c>
      <c r="G21">
        <v>1.4869699999999999</v>
      </c>
      <c r="H21">
        <v>1.4526190999999999</v>
      </c>
    </row>
    <row r="22" spans="1:8" x14ac:dyDescent="0.25">
      <c r="A22" t="s">
        <v>28</v>
      </c>
      <c r="B22" t="s">
        <v>2</v>
      </c>
      <c r="C22">
        <v>11</v>
      </c>
      <c r="D22">
        <v>9</v>
      </c>
      <c r="E22">
        <v>3</v>
      </c>
      <c r="F22" t="str">
        <f t="shared" si="3"/>
        <v>ARG</v>
      </c>
      <c r="G22">
        <v>2.7509796999999998</v>
      </c>
      <c r="H22">
        <v>3.3637790000000001</v>
      </c>
    </row>
    <row r="23" spans="1:8" x14ac:dyDescent="0.25">
      <c r="A23" t="s">
        <v>29</v>
      </c>
      <c r="B23" t="s">
        <v>30</v>
      </c>
      <c r="C23">
        <v>196</v>
      </c>
      <c r="D23">
        <v>10</v>
      </c>
      <c r="E23">
        <v>2</v>
      </c>
      <c r="F23" t="str">
        <f t="shared" si="3"/>
        <v>KSA</v>
      </c>
      <c r="G23">
        <v>1.4410578000000001</v>
      </c>
      <c r="H23">
        <v>1.5462975999999999</v>
      </c>
    </row>
    <row r="24" spans="1:8" x14ac:dyDescent="0.25">
      <c r="A24" t="s">
        <v>31</v>
      </c>
      <c r="B24" t="s">
        <v>32</v>
      </c>
      <c r="C24">
        <v>146</v>
      </c>
      <c r="D24">
        <v>11</v>
      </c>
      <c r="E24">
        <v>24</v>
      </c>
      <c r="F24" t="str">
        <f t="shared" si="3"/>
        <v>MEX</v>
      </c>
      <c r="G24">
        <v>1.3970513</v>
      </c>
      <c r="H24">
        <v>1.7881076</v>
      </c>
    </row>
    <row r="25" spans="1:8" x14ac:dyDescent="0.25">
      <c r="A25" t="s">
        <v>33</v>
      </c>
      <c r="B25" t="s">
        <v>9</v>
      </c>
      <c r="C25">
        <v>179</v>
      </c>
      <c r="D25">
        <v>12</v>
      </c>
      <c r="E25">
        <v>26</v>
      </c>
      <c r="F25" t="str">
        <f t="shared" si="3"/>
        <v>POL</v>
      </c>
      <c r="G25">
        <v>2.0494314</v>
      </c>
      <c r="H25">
        <v>1.6911286999999999</v>
      </c>
    </row>
    <row r="26" spans="1:8" x14ac:dyDescent="0.25">
      <c r="A26" t="s">
        <v>34</v>
      </c>
      <c r="B26" t="s">
        <v>8</v>
      </c>
      <c r="C26">
        <v>83</v>
      </c>
      <c r="D26">
        <v>13</v>
      </c>
      <c r="E26">
        <v>17</v>
      </c>
      <c r="F26" t="str">
        <f t="shared" si="3"/>
        <v>FRA</v>
      </c>
      <c r="G26">
        <v>3.0713667999999998</v>
      </c>
      <c r="H26">
        <v>2.1381047999999998</v>
      </c>
    </row>
    <row r="27" spans="1:8" x14ac:dyDescent="0.25">
      <c r="A27" t="s">
        <v>35</v>
      </c>
      <c r="B27" t="s">
        <v>3</v>
      </c>
      <c r="C27">
        <v>15</v>
      </c>
      <c r="D27">
        <v>14</v>
      </c>
      <c r="E27">
        <v>4</v>
      </c>
      <c r="F27" t="str">
        <f t="shared" si="3"/>
        <v>AUS</v>
      </c>
      <c r="G27">
        <v>1.6427147</v>
      </c>
      <c r="H27">
        <v>1.7718426</v>
      </c>
    </row>
    <row r="28" spans="1:8" x14ac:dyDescent="0.25">
      <c r="A28" t="s">
        <v>36</v>
      </c>
      <c r="B28" t="s">
        <v>37</v>
      </c>
      <c r="C28">
        <v>66</v>
      </c>
      <c r="D28">
        <v>15</v>
      </c>
      <c r="E28">
        <v>13</v>
      </c>
      <c r="F28" t="str">
        <f t="shared" si="3"/>
        <v>DEN</v>
      </c>
      <c r="G28">
        <v>2.2922413000000001</v>
      </c>
      <c r="H28">
        <v>2.3999774999999999</v>
      </c>
    </row>
    <row r="29" spans="1:8" x14ac:dyDescent="0.25">
      <c r="A29" t="s">
        <v>38</v>
      </c>
      <c r="B29" t="s">
        <v>39</v>
      </c>
      <c r="C29">
        <v>231</v>
      </c>
      <c r="D29">
        <v>16</v>
      </c>
      <c r="E29">
        <v>31</v>
      </c>
      <c r="F29" t="str">
        <f t="shared" si="3"/>
        <v>TUN</v>
      </c>
      <c r="G29">
        <v>1.6668244999999999</v>
      </c>
      <c r="H29">
        <v>2.9689440999999999</v>
      </c>
    </row>
    <row r="30" spans="1:8" x14ac:dyDescent="0.25">
      <c r="A30" t="s">
        <v>40</v>
      </c>
      <c r="B30" t="s">
        <v>13</v>
      </c>
      <c r="C30">
        <v>214</v>
      </c>
      <c r="D30">
        <v>17</v>
      </c>
      <c r="E30">
        <v>15</v>
      </c>
      <c r="F30" t="str">
        <f t="shared" si="3"/>
        <v>ESP</v>
      </c>
      <c r="G30">
        <v>3.4440189000000001</v>
      </c>
      <c r="H30">
        <v>2.4630000000000001</v>
      </c>
    </row>
    <row r="31" spans="1:8" x14ac:dyDescent="0.25">
      <c r="A31" t="s">
        <v>41</v>
      </c>
      <c r="B31" t="s">
        <v>42</v>
      </c>
      <c r="C31">
        <v>60</v>
      </c>
      <c r="D31">
        <v>18</v>
      </c>
      <c r="E31">
        <v>11</v>
      </c>
      <c r="F31" t="str">
        <f t="shared" si="3"/>
        <v>CRC</v>
      </c>
      <c r="G31">
        <v>1.0955627999999999</v>
      </c>
      <c r="H31">
        <v>0.98586149999999995</v>
      </c>
    </row>
    <row r="32" spans="1:8" x14ac:dyDescent="0.25">
      <c r="A32" t="s">
        <v>43</v>
      </c>
      <c r="B32" t="s">
        <v>44</v>
      </c>
      <c r="C32">
        <v>88</v>
      </c>
      <c r="D32">
        <v>19</v>
      </c>
      <c r="E32">
        <v>1</v>
      </c>
      <c r="F32" t="str">
        <f t="shared" si="3"/>
        <v>GER</v>
      </c>
      <c r="G32">
        <v>3.1680828000000001</v>
      </c>
      <c r="H32">
        <v>1.5153063</v>
      </c>
    </row>
    <row r="33" spans="1:8" x14ac:dyDescent="0.25">
      <c r="A33" t="s">
        <v>45</v>
      </c>
      <c r="B33" t="s">
        <v>4</v>
      </c>
      <c r="C33">
        <v>115</v>
      </c>
      <c r="D33">
        <v>20</v>
      </c>
      <c r="E33">
        <v>22</v>
      </c>
      <c r="F33" t="str">
        <f t="shared" si="3"/>
        <v>JPN</v>
      </c>
      <c r="G33">
        <v>1.9638616</v>
      </c>
      <c r="H33">
        <v>2.2343137999999998</v>
      </c>
    </row>
    <row r="34" spans="1:8" x14ac:dyDescent="0.25">
      <c r="A34" t="s">
        <v>46</v>
      </c>
      <c r="B34" t="s">
        <v>47</v>
      </c>
      <c r="C34">
        <v>26</v>
      </c>
      <c r="D34">
        <v>21</v>
      </c>
      <c r="E34">
        <v>5</v>
      </c>
      <c r="F34" t="str">
        <f t="shared" si="3"/>
        <v>BEL</v>
      </c>
      <c r="G34">
        <v>2.6842125000000001</v>
      </c>
      <c r="H34">
        <v>2.09504</v>
      </c>
    </row>
    <row r="35" spans="1:8" x14ac:dyDescent="0.25">
      <c r="A35" t="s">
        <v>48</v>
      </c>
      <c r="B35" t="s">
        <v>49</v>
      </c>
      <c r="C35">
        <v>45</v>
      </c>
      <c r="D35">
        <v>22</v>
      </c>
      <c r="E35">
        <v>8</v>
      </c>
      <c r="F35" t="str">
        <f t="shared" si="3"/>
        <v>CAN</v>
      </c>
      <c r="G35">
        <v>1.6155280000000001</v>
      </c>
      <c r="H35">
        <v>1.2359083</v>
      </c>
    </row>
    <row r="36" spans="1:8" x14ac:dyDescent="0.25">
      <c r="A36" t="s">
        <v>50</v>
      </c>
      <c r="B36" t="s">
        <v>12</v>
      </c>
      <c r="C36">
        <v>151</v>
      </c>
      <c r="D36">
        <v>23</v>
      </c>
      <c r="E36">
        <v>23</v>
      </c>
      <c r="F36" t="str">
        <f t="shared" si="3"/>
        <v>MAR</v>
      </c>
      <c r="G36">
        <v>2.2470444000000001</v>
      </c>
      <c r="H36">
        <v>3.1440147999999999</v>
      </c>
    </row>
    <row r="37" spans="1:8" x14ac:dyDescent="0.25">
      <c r="A37" t="s">
        <v>51</v>
      </c>
      <c r="B37" t="s">
        <v>5</v>
      </c>
      <c r="C37">
        <v>61</v>
      </c>
      <c r="D37">
        <v>24</v>
      </c>
      <c r="E37">
        <v>12</v>
      </c>
      <c r="F37" t="str">
        <f t="shared" si="3"/>
        <v>CRO</v>
      </c>
      <c r="G37">
        <v>2.4014044999999999</v>
      </c>
      <c r="H37">
        <v>2.1672009999999999</v>
      </c>
    </row>
    <row r="38" spans="1:8" x14ac:dyDescent="0.25">
      <c r="A38" t="s">
        <v>52</v>
      </c>
      <c r="B38" t="s">
        <v>6</v>
      </c>
      <c r="C38">
        <v>36</v>
      </c>
      <c r="D38">
        <v>25</v>
      </c>
      <c r="E38">
        <v>6</v>
      </c>
      <c r="F38" t="str">
        <f t="shared" si="3"/>
        <v>BRA</v>
      </c>
      <c r="G38">
        <v>2.9235102999999998</v>
      </c>
      <c r="H38">
        <v>5.9757601999999999</v>
      </c>
    </row>
    <row r="39" spans="1:8" x14ac:dyDescent="0.25">
      <c r="A39" t="s">
        <v>53</v>
      </c>
      <c r="B39" t="s">
        <v>54</v>
      </c>
      <c r="C39">
        <v>199</v>
      </c>
      <c r="D39">
        <v>26</v>
      </c>
      <c r="E39">
        <v>29</v>
      </c>
      <c r="F39" t="str">
        <f t="shared" si="3"/>
        <v>SRB</v>
      </c>
      <c r="G39">
        <v>2.8741051999999998</v>
      </c>
      <c r="H39">
        <v>1.2079941999999999</v>
      </c>
    </row>
    <row r="40" spans="1:8" x14ac:dyDescent="0.25">
      <c r="A40" t="s">
        <v>55</v>
      </c>
      <c r="B40" t="s">
        <v>15</v>
      </c>
      <c r="C40">
        <v>219</v>
      </c>
      <c r="D40">
        <v>27</v>
      </c>
      <c r="E40">
        <v>30</v>
      </c>
      <c r="F40" t="str">
        <f t="shared" si="3"/>
        <v>SUI</v>
      </c>
      <c r="G40">
        <v>2.4066801999999998</v>
      </c>
      <c r="H40">
        <v>2.1276000000000002</v>
      </c>
    </row>
    <row r="41" spans="1:8" x14ac:dyDescent="0.25">
      <c r="A41" t="s">
        <v>56</v>
      </c>
      <c r="B41" t="s">
        <v>57</v>
      </c>
      <c r="C41">
        <v>44</v>
      </c>
      <c r="D41">
        <v>28</v>
      </c>
      <c r="E41">
        <v>7</v>
      </c>
      <c r="F41" t="str">
        <f t="shared" si="3"/>
        <v>CMR</v>
      </c>
      <c r="G41">
        <v>2.0092536000000001</v>
      </c>
      <c r="H41">
        <v>1.8663855</v>
      </c>
    </row>
    <row r="42" spans="1:8" x14ac:dyDescent="0.25">
      <c r="A42" t="s">
        <v>58</v>
      </c>
      <c r="B42" t="s">
        <v>14</v>
      </c>
      <c r="C42">
        <v>180</v>
      </c>
      <c r="D42">
        <v>29</v>
      </c>
      <c r="E42">
        <v>27</v>
      </c>
      <c r="F42" t="str">
        <f t="shared" si="3"/>
        <v>POR</v>
      </c>
      <c r="G42">
        <v>3.0763805</v>
      </c>
      <c r="H42">
        <v>2.2281933999999999</v>
      </c>
    </row>
    <row r="43" spans="1:8" x14ac:dyDescent="0.25">
      <c r="A43" t="s">
        <v>59</v>
      </c>
      <c r="B43" t="s">
        <v>60</v>
      </c>
      <c r="C43">
        <v>89</v>
      </c>
      <c r="D43">
        <v>30</v>
      </c>
      <c r="E43">
        <v>18</v>
      </c>
      <c r="F43" t="str">
        <f t="shared" si="3"/>
        <v>GHA</v>
      </c>
      <c r="G43">
        <v>1.595718</v>
      </c>
      <c r="H43">
        <v>1.1241759</v>
      </c>
    </row>
    <row r="44" spans="1:8" x14ac:dyDescent="0.25">
      <c r="A44" t="s">
        <v>61</v>
      </c>
      <c r="B44" t="s">
        <v>63</v>
      </c>
      <c r="C44">
        <v>241</v>
      </c>
      <c r="D44">
        <v>31</v>
      </c>
      <c r="E44">
        <v>32</v>
      </c>
      <c r="F44" t="str">
        <f t="shared" si="3"/>
        <v>URU</v>
      </c>
      <c r="G44">
        <v>1.702213</v>
      </c>
      <c r="H44">
        <v>2.2893012000000001</v>
      </c>
    </row>
    <row r="45" spans="1:8" x14ac:dyDescent="0.25">
      <c r="A45" t="s">
        <v>62</v>
      </c>
      <c r="B45" t="s">
        <v>7</v>
      </c>
      <c r="C45">
        <v>211</v>
      </c>
      <c r="D45">
        <v>32</v>
      </c>
      <c r="E45">
        <v>10</v>
      </c>
      <c r="F45" t="str">
        <f t="shared" si="3"/>
        <v>KOR</v>
      </c>
      <c r="G45">
        <v>1.6876409999999999</v>
      </c>
      <c r="H45">
        <v>1.808989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Oitavas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wwsande</dc:creator>
  <cp:lastModifiedBy>wwsande</cp:lastModifiedBy>
  <dcterms:created xsi:type="dcterms:W3CDTF">2022-12-03T02:13:08Z</dcterms:created>
  <dcterms:modified xsi:type="dcterms:W3CDTF">2022-12-03T03:54:03Z</dcterms:modified>
</cp:coreProperties>
</file>