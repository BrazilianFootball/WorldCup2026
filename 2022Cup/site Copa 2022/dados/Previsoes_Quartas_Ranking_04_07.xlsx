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acyr.silva\Documents\Copa2018\PrevisoesCopa2018\"/>
    </mc:Choice>
  </mc:AlternateContent>
  <xr:revisionPtr revIDLastSave="0" documentId="11_A4A6C636A9BFA2AF57526DEDDF34C6ACF1484322" xr6:coauthVersionLast="35" xr6:coauthVersionMax="35" xr10:uidLastSave="{00000000-0000-0000-0000-000000000000}"/>
  <bookViews>
    <workbookView xWindow="0" yWindow="0" windowWidth="21600" windowHeight="9600" firstSheet="2" activeTab="2" xr2:uid="{00000000-000D-0000-FFFF-FFFF00000000}"/>
  </bookViews>
  <sheets>
    <sheet name="Probabilidades_grafico" sheetId="4" r:id="rId1"/>
    <sheet name="Ranking" sheetId="2" r:id="rId2"/>
    <sheet name="PrevConfrontos" sheetId="5" r:id="rId3"/>
  </sheets>
  <calcPr calcId="179020"/>
</workbook>
</file>

<file path=xl/calcChain.xml><?xml version="1.0" encoding="utf-8"?>
<calcChain xmlns="http://schemas.openxmlformats.org/spreadsheetml/2006/main">
  <c r="D10" i="5" l="1"/>
  <c r="L3" i="5"/>
  <c r="E3" i="2"/>
  <c r="F3" i="2"/>
  <c r="G3" i="2"/>
  <c r="E4" i="2"/>
  <c r="F4" i="2"/>
  <c r="G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F2" i="2"/>
  <c r="G2" i="2"/>
  <c r="E2" i="2"/>
  <c r="G3" i="5"/>
  <c r="E5" i="5"/>
  <c r="B2" i="5"/>
  <c r="C2" i="5"/>
  <c r="C1" i="5"/>
  <c r="B1" i="5"/>
  <c r="G6" i="5"/>
  <c r="J5" i="5"/>
  <c r="J9" i="5"/>
  <c r="K8" i="5"/>
  <c r="G8" i="5"/>
  <c r="H7" i="5"/>
  <c r="I6" i="5"/>
  <c r="K9" i="5"/>
  <c r="H8" i="5"/>
  <c r="J6" i="5"/>
  <c r="I5" i="5"/>
  <c r="I9" i="5"/>
  <c r="J8" i="5"/>
  <c r="K7" i="5"/>
  <c r="G7" i="5"/>
  <c r="H6" i="5"/>
  <c r="K5" i="5"/>
  <c r="G9" i="5"/>
  <c r="I7" i="5"/>
  <c r="G5" i="5"/>
  <c r="H5" i="5"/>
  <c r="H9" i="5"/>
  <c r="I8" i="5"/>
  <c r="J7" i="5"/>
  <c r="K6" i="5"/>
  <c r="L4" i="5"/>
  <c r="F10" i="5"/>
  <c r="L10" i="5"/>
</calcChain>
</file>

<file path=xl/sharedStrings.xml><?xml version="1.0" encoding="utf-8"?>
<sst xmlns="http://schemas.openxmlformats.org/spreadsheetml/2006/main" count="84" uniqueCount="75">
  <si>
    <t>chegar semi</t>
  </si>
  <si>
    <t>chegar final</t>
  </si>
  <si>
    <t>terceiro</t>
  </si>
  <si>
    <t>vice</t>
  </si>
  <si>
    <t>campeão</t>
  </si>
  <si>
    <t>Brasil</t>
  </si>
  <si>
    <t>França</t>
  </si>
  <si>
    <t>Croácia</t>
  </si>
  <si>
    <t>Suécia</t>
  </si>
  <si>
    <t>Inglaterra</t>
  </si>
  <si>
    <t>Bélgica</t>
  </si>
  <si>
    <t>Uruguai</t>
  </si>
  <si>
    <t>Rússia</t>
  </si>
  <si>
    <t>Arábia Saudita</t>
  </si>
  <si>
    <t>Egito</t>
  </si>
  <si>
    <t>Portugal</t>
  </si>
  <si>
    <t>Espanha</t>
  </si>
  <si>
    <t>Marrocos</t>
  </si>
  <si>
    <t>Irã</t>
  </si>
  <si>
    <t>Austrália</t>
  </si>
  <si>
    <t>Peru</t>
  </si>
  <si>
    <t>Dinamarca</t>
  </si>
  <si>
    <t>Argentina</t>
  </si>
  <si>
    <t>Islândia</t>
  </si>
  <si>
    <t>Nigéria</t>
  </si>
  <si>
    <t>Suíça</t>
  </si>
  <si>
    <t>Costa Rica</t>
  </si>
  <si>
    <t>Sérvia</t>
  </si>
  <si>
    <t>Alemanha</t>
  </si>
  <si>
    <t>México</t>
  </si>
  <si>
    <t>Coréia do Sul</t>
  </si>
  <si>
    <t>Panamá</t>
  </si>
  <si>
    <t>Tunísia</t>
  </si>
  <si>
    <t>Polônia</t>
  </si>
  <si>
    <t>Senegal</t>
  </si>
  <si>
    <t>Colômbia</t>
  </si>
  <si>
    <t>Japão</t>
  </si>
  <si>
    <t>Selecao</t>
  </si>
  <si>
    <t>Força (geral)</t>
  </si>
  <si>
    <t>ataque</t>
  </si>
  <si>
    <t>defesa</t>
  </si>
  <si>
    <t>Força geral</t>
  </si>
  <si>
    <t>Brazil</t>
  </si>
  <si>
    <t>As colunas azuis apresentam os parâmetros absolutos, e as verdes apresentam os parâmetros comparativos (referência: Uruguai).</t>
  </si>
  <si>
    <t>France</t>
  </si>
  <si>
    <t>Exemplos:</t>
  </si>
  <si>
    <t>Spain</t>
  </si>
  <si>
    <t>Assim é mais fácil entender o significado destes números.  A força geral do Brasil é 1.447 mais forte que a do Uruguai.</t>
  </si>
  <si>
    <t>Croatia</t>
  </si>
  <si>
    <t>O ataque do Brasil é 1.374 vezes mais eficiente para fazer gols do que o do Uruguai.</t>
  </si>
  <si>
    <t>Belgium</t>
  </si>
  <si>
    <t>A defesa do Brasil é 1.524  vezes mais eficiente em evitar gols que o ataque do Uruguai para fazer.</t>
  </si>
  <si>
    <t>Sweden</t>
  </si>
  <si>
    <t>Germany</t>
  </si>
  <si>
    <t>England</t>
  </si>
  <si>
    <t>Denmark</t>
  </si>
  <si>
    <t>Colombia</t>
  </si>
  <si>
    <t>Uruguay</t>
  </si>
  <si>
    <t>Iran</t>
  </si>
  <si>
    <t>Suisse</t>
  </si>
  <si>
    <t>Morocco</t>
  </si>
  <si>
    <t>Poland</t>
  </si>
  <si>
    <t>Russia</t>
  </si>
  <si>
    <t>Serbia</t>
  </si>
  <si>
    <t>Mexico</t>
  </si>
  <si>
    <t>Iceland</t>
  </si>
  <si>
    <t>Japan</t>
  </si>
  <si>
    <t>South Korea</t>
  </si>
  <si>
    <t>Nigeria</t>
  </si>
  <si>
    <t>Australia</t>
  </si>
  <si>
    <t>Tunisia</t>
  </si>
  <si>
    <t>Egypt</t>
  </si>
  <si>
    <t>Saudi Arabia</t>
  </si>
  <si>
    <t>Panama</t>
  </si>
  <si>
    <t>Empate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</si>
</sst>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42" applyNumberFormat="1" applyFont="1"/>
    <xf numFmtId="0" fontId="0" fillId="33" borderId="10" xfId="0" applyFill="1" applyBorder="1"/>
    <xf numFmtId="165" fontId="0" fillId="33" borderId="10" xfId="0" applyNumberFormat="1" applyFill="1" applyBorder="1"/>
    <xf numFmtId="0" fontId="0" fillId="34" borderId="10" xfId="0" applyFill="1" applyBorder="1"/>
    <xf numFmtId="165" fontId="0" fillId="34" borderId="10" xfId="0" applyNumberFormat="1" applyFill="1" applyBorder="1"/>
    <xf numFmtId="164" fontId="0" fillId="0" borderId="10" xfId="42" applyNumberFormat="1" applyFont="1" applyBorder="1"/>
    <xf numFmtId="164" fontId="0" fillId="0" borderId="0" xfId="0" applyNumberFormat="1"/>
    <xf numFmtId="164" fontId="1" fillId="0" borderId="10" xfId="42" applyNumberFormat="1" applyBorder="1"/>
    <xf numFmtId="164" fontId="0" fillId="0" borderId="0" xfId="42" applyNumberFormat="1" applyFont="1" applyAlignment="1">
      <alignment horizontal="left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0" borderId="10" xfId="0" applyFont="1" applyBorder="1" applyAlignment="1">
      <alignment horizontal="center"/>
    </xf>
    <xf numFmtId="2" fontId="0" fillId="0" borderId="0" xfId="0" applyNumberFormat="1"/>
    <xf numFmtId="164" fontId="0" fillId="0" borderId="11" xfId="42" applyNumberFormat="1" applyFont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 textRotation="9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Probabilidade de Ser Campeão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Probabilidades_grafico!$F$1</c:f>
              <c:strCache>
                <c:ptCount val="1"/>
                <c:pt idx="0">
                  <c:v>campeão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Probabilidades_grafico!$A$2:$A$33</c:f>
              <c:strCache>
                <c:ptCount val="32"/>
                <c:pt idx="0">
                  <c:v>Brasil</c:v>
                </c:pt>
                <c:pt idx="1">
                  <c:v>França</c:v>
                </c:pt>
                <c:pt idx="2">
                  <c:v>Croácia</c:v>
                </c:pt>
                <c:pt idx="3">
                  <c:v>Suécia</c:v>
                </c:pt>
                <c:pt idx="4">
                  <c:v>Inglaterra</c:v>
                </c:pt>
                <c:pt idx="5">
                  <c:v>Bélgica</c:v>
                </c:pt>
                <c:pt idx="6">
                  <c:v>Uruguai</c:v>
                </c:pt>
                <c:pt idx="7">
                  <c:v>Rússia</c:v>
                </c:pt>
                <c:pt idx="8">
                  <c:v>Arábia Saudita</c:v>
                </c:pt>
                <c:pt idx="9">
                  <c:v>Egito</c:v>
                </c:pt>
                <c:pt idx="10">
                  <c:v>Portugal</c:v>
                </c:pt>
                <c:pt idx="11">
                  <c:v>Espanha</c:v>
                </c:pt>
                <c:pt idx="12">
                  <c:v>Marrocos</c:v>
                </c:pt>
                <c:pt idx="13">
                  <c:v>Irã</c:v>
                </c:pt>
                <c:pt idx="14">
                  <c:v>Austrália</c:v>
                </c:pt>
                <c:pt idx="15">
                  <c:v>Peru</c:v>
                </c:pt>
                <c:pt idx="16">
                  <c:v>Dinamarca</c:v>
                </c:pt>
                <c:pt idx="17">
                  <c:v>Argentina</c:v>
                </c:pt>
                <c:pt idx="18">
                  <c:v>Islândia</c:v>
                </c:pt>
                <c:pt idx="19">
                  <c:v>Nigéria</c:v>
                </c:pt>
                <c:pt idx="20">
                  <c:v>Suíça</c:v>
                </c:pt>
                <c:pt idx="21">
                  <c:v>Costa Rica</c:v>
                </c:pt>
                <c:pt idx="22">
                  <c:v>Sérvia</c:v>
                </c:pt>
                <c:pt idx="23">
                  <c:v>Alemanha</c:v>
                </c:pt>
                <c:pt idx="24">
                  <c:v>México</c:v>
                </c:pt>
                <c:pt idx="25">
                  <c:v>Coréia do Sul</c:v>
                </c:pt>
                <c:pt idx="26">
                  <c:v>Panamá</c:v>
                </c:pt>
                <c:pt idx="27">
                  <c:v>Tunísia</c:v>
                </c:pt>
                <c:pt idx="28">
                  <c:v>Polônia</c:v>
                </c:pt>
                <c:pt idx="29">
                  <c:v>Senegal</c:v>
                </c:pt>
                <c:pt idx="30">
                  <c:v>Colômbia</c:v>
                </c:pt>
                <c:pt idx="31">
                  <c:v>Japão</c:v>
                </c:pt>
              </c:strCache>
            </c:strRef>
          </c:cat>
          <c:val>
            <c:numRef>
              <c:f>Probabilidades_grafico!$F$2:$F$33</c:f>
              <c:numCache>
                <c:formatCode>0.0%</c:formatCode>
                <c:ptCount val="32"/>
                <c:pt idx="0">
                  <c:v>0.31671000000017502</c:v>
                </c:pt>
                <c:pt idx="1">
                  <c:v>0.15674000000001501</c:v>
                </c:pt>
                <c:pt idx="2">
                  <c:v>0.15020000000000899</c:v>
                </c:pt>
                <c:pt idx="3">
                  <c:v>0.113499999999988</c:v>
                </c:pt>
                <c:pt idx="4">
                  <c:v>9.8749999999994398E-2</c:v>
                </c:pt>
                <c:pt idx="5">
                  <c:v>7.9680000000001805E-2</c:v>
                </c:pt>
                <c:pt idx="6">
                  <c:v>5.7110000000006801E-2</c:v>
                </c:pt>
                <c:pt idx="7">
                  <c:v>2.7309999999998998E-2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9-42D1-9137-642EC26A0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-27"/>
        <c:axId val="88025088"/>
        <c:axId val="74014016"/>
      </c:barChart>
      <c:catAx>
        <c:axId val="8802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4016"/>
        <c:crosses val="autoZero"/>
        <c:auto val="1"/>
        <c:lblAlgn val="ctr"/>
        <c:lblOffset val="100"/>
        <c:noMultiLvlLbl val="0"/>
      </c:catAx>
      <c:valAx>
        <c:axId val="740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Ranking!$B$1</c:f>
              <c:strCache>
                <c:ptCount val="1"/>
                <c:pt idx="0">
                  <c:v>Força (geral)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Ranking!$A$2:$A$33</c:f>
              <c:strCache>
                <c:ptCount val="32"/>
                <c:pt idx="0">
                  <c:v>Brazil</c:v>
                </c:pt>
                <c:pt idx="1">
                  <c:v>France</c:v>
                </c:pt>
                <c:pt idx="2">
                  <c:v>Spain</c:v>
                </c:pt>
                <c:pt idx="3">
                  <c:v>Croatia</c:v>
                </c:pt>
                <c:pt idx="4">
                  <c:v>Belgium</c:v>
                </c:pt>
                <c:pt idx="5">
                  <c:v>Sweden</c:v>
                </c:pt>
                <c:pt idx="6">
                  <c:v>Germany</c:v>
                </c:pt>
                <c:pt idx="7">
                  <c:v>England</c:v>
                </c:pt>
                <c:pt idx="8">
                  <c:v>Denmark</c:v>
                </c:pt>
                <c:pt idx="9">
                  <c:v>Colombia</c:v>
                </c:pt>
                <c:pt idx="10">
                  <c:v>Portugal</c:v>
                </c:pt>
                <c:pt idx="11">
                  <c:v>Uruguay</c:v>
                </c:pt>
                <c:pt idx="12">
                  <c:v>Argentina</c:v>
                </c:pt>
                <c:pt idx="13">
                  <c:v>Peru</c:v>
                </c:pt>
                <c:pt idx="14">
                  <c:v>Iran</c:v>
                </c:pt>
                <c:pt idx="15">
                  <c:v>Suisse</c:v>
                </c:pt>
                <c:pt idx="16">
                  <c:v>Morocco</c:v>
                </c:pt>
                <c:pt idx="17">
                  <c:v>Poland</c:v>
                </c:pt>
                <c:pt idx="18">
                  <c:v>Russia</c:v>
                </c:pt>
                <c:pt idx="19">
                  <c:v>Serbia</c:v>
                </c:pt>
                <c:pt idx="20">
                  <c:v>Mexico</c:v>
                </c:pt>
                <c:pt idx="21">
                  <c:v>Senegal</c:v>
                </c:pt>
                <c:pt idx="22">
                  <c:v>Iceland</c:v>
                </c:pt>
                <c:pt idx="23">
                  <c:v>Japan</c:v>
                </c:pt>
                <c:pt idx="24">
                  <c:v>South Korea</c:v>
                </c:pt>
                <c:pt idx="25">
                  <c:v>Nigeria</c:v>
                </c:pt>
                <c:pt idx="26">
                  <c:v>Australia</c:v>
                </c:pt>
                <c:pt idx="27">
                  <c:v>Costa Rica</c:v>
                </c:pt>
                <c:pt idx="28">
                  <c:v>Tunisia</c:v>
                </c:pt>
                <c:pt idx="29">
                  <c:v>Egypt</c:v>
                </c:pt>
                <c:pt idx="30">
                  <c:v>Saudi Arabia</c:v>
                </c:pt>
                <c:pt idx="31">
                  <c:v>Panama</c:v>
                </c:pt>
              </c:strCache>
            </c:strRef>
          </c:cat>
          <c:val>
            <c:numRef>
              <c:f>Ranking!$B$2:$B$33</c:f>
              <c:numCache>
                <c:formatCode>0.000</c:formatCode>
                <c:ptCount val="32"/>
                <c:pt idx="0">
                  <c:v>3.5937017518562961</c:v>
                </c:pt>
                <c:pt idx="1">
                  <c:v>2.9279858254891939</c:v>
                </c:pt>
                <c:pt idx="2">
                  <c:v>2.7689747104623432</c:v>
                </c:pt>
                <c:pt idx="3">
                  <c:v>2.7202987868923829</c:v>
                </c:pt>
                <c:pt idx="4">
                  <c:v>2.681279213587362</c:v>
                </c:pt>
                <c:pt idx="5">
                  <c:v>2.6495086180612244</c:v>
                </c:pt>
                <c:pt idx="6">
                  <c:v>2.6240760646412196</c:v>
                </c:pt>
                <c:pt idx="7">
                  <c:v>2.5688639840309841</c:v>
                </c:pt>
                <c:pt idx="8">
                  <c:v>2.5133368082636554</c:v>
                </c:pt>
                <c:pt idx="9">
                  <c:v>2.4569441285730811</c:v>
                </c:pt>
                <c:pt idx="10">
                  <c:v>2.446702518123812</c:v>
                </c:pt>
                <c:pt idx="11">
                  <c:v>2.4262933034784333</c:v>
                </c:pt>
                <c:pt idx="12">
                  <c:v>2.3502193725513383</c:v>
                </c:pt>
                <c:pt idx="13">
                  <c:v>2.2134638783673268</c:v>
                </c:pt>
                <c:pt idx="14">
                  <c:v>2.2018308820474148</c:v>
                </c:pt>
                <c:pt idx="15">
                  <c:v>2.1821931197268567</c:v>
                </c:pt>
                <c:pt idx="16">
                  <c:v>2.0822725175923673</c:v>
                </c:pt>
                <c:pt idx="17">
                  <c:v>2.0632962974114175</c:v>
                </c:pt>
                <c:pt idx="18">
                  <c:v>2.0557576718631179</c:v>
                </c:pt>
                <c:pt idx="19">
                  <c:v>1.915485251990644</c:v>
                </c:pt>
                <c:pt idx="20">
                  <c:v>1.8455186043253362</c:v>
                </c:pt>
                <c:pt idx="21">
                  <c:v>1.7953365812989193</c:v>
                </c:pt>
                <c:pt idx="22">
                  <c:v>1.775027447526353</c:v>
                </c:pt>
                <c:pt idx="23">
                  <c:v>1.7738827630989493</c:v>
                </c:pt>
                <c:pt idx="24">
                  <c:v>1.6573387394243726</c:v>
                </c:pt>
                <c:pt idx="25">
                  <c:v>1.600525244444206</c:v>
                </c:pt>
                <c:pt idx="26">
                  <c:v>1.5889311515703293</c:v>
                </c:pt>
                <c:pt idx="27">
                  <c:v>1.5213529024166226</c:v>
                </c:pt>
                <c:pt idx="28">
                  <c:v>1.4548794904345117</c:v>
                </c:pt>
                <c:pt idx="29">
                  <c:v>1.424424856482426</c:v>
                </c:pt>
                <c:pt idx="30">
                  <c:v>1.291349355499871</c:v>
                </c:pt>
                <c:pt idx="31">
                  <c:v>1.1183141374425434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8-4A48-8A13-AC9256A6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27"/>
        <c:axId val="88025600"/>
        <c:axId val="74048640"/>
      </c:barChart>
      <c:catAx>
        <c:axId val="8802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8640"/>
        <c:crosses val="autoZero"/>
        <c:auto val="1"/>
        <c:lblAlgn val="ctr"/>
        <c:lblOffset val="100"/>
        <c:noMultiLvlLbl val="0"/>
      </c:catAx>
      <c:valAx>
        <c:axId val="7404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1</xdr:row>
      <xdr:rowOff>152400</xdr:rowOff>
    </xdr:from>
    <xdr:to>
      <xdr:col>22</xdr:col>
      <xdr:colOff>581024</xdr:colOff>
      <xdr:row>28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8</xdr:row>
      <xdr:rowOff>142875</xdr:rowOff>
    </xdr:from>
    <xdr:to>
      <xdr:col>19</xdr:col>
      <xdr:colOff>600074</xdr:colOff>
      <xdr:row>35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workbookViewId="0" xr3:uid="{AEA406A1-0E4B-5B11-9CD5-51D6E497D94C}"/>
  </sheetViews>
  <sheetFormatPr defaultRowHeight="15"/>
  <cols>
    <col min="1" max="1" width="13.85546875" bestFit="1" customWidth="1"/>
    <col min="2" max="2" width="11.5703125" bestFit="1" customWidth="1"/>
    <col min="3" max="3" width="11.5703125" customWidth="1"/>
    <col min="4" max="4" width="11.28515625" bestFit="1" customWidth="1"/>
    <col min="5" max="5" width="8.28515625" bestFit="1" customWidth="1"/>
    <col min="6" max="6" width="9" bestFit="1" customWidth="1"/>
    <col min="7" max="7" width="9.28515625" bestFit="1" customWidth="1"/>
    <col min="8" max="8" width="8" bestFit="1" customWidth="1"/>
    <col min="9" max="9" width="9.28515625" bestFit="1" customWidth="1"/>
  </cols>
  <sheetData>
    <row r="1" spans="1:9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</row>
    <row r="2" spans="1:9">
      <c r="A2" t="s">
        <v>5</v>
      </c>
      <c r="B2" s="1">
        <v>0.69078999999949098</v>
      </c>
      <c r="C2" s="1">
        <v>0.45838000000017498</v>
      </c>
      <c r="D2" s="1">
        <v>0.163340000000022</v>
      </c>
      <c r="E2" s="1">
        <v>0.14166999999999999</v>
      </c>
      <c r="F2" s="1">
        <v>0.31671000000017502</v>
      </c>
      <c r="G2" s="9"/>
      <c r="H2" s="1"/>
      <c r="I2" s="1"/>
    </row>
    <row r="3" spans="1:9">
      <c r="A3" t="s">
        <v>6</v>
      </c>
      <c r="B3" s="1">
        <v>0.61848999999982002</v>
      </c>
      <c r="C3" s="1">
        <v>0.26901000000000402</v>
      </c>
      <c r="D3" s="1">
        <v>0.20921000000006801</v>
      </c>
      <c r="E3" s="1">
        <v>0.112269999999989</v>
      </c>
      <c r="F3" s="1">
        <v>0.15674000000001501</v>
      </c>
      <c r="G3" s="9"/>
      <c r="H3" s="1"/>
      <c r="I3" s="1"/>
    </row>
    <row r="4" spans="1:9">
      <c r="A4" t="s">
        <v>7</v>
      </c>
      <c r="B4" s="1">
        <v>0.67500999999956202</v>
      </c>
      <c r="C4" s="1">
        <v>0.35409000000007196</v>
      </c>
      <c r="D4" s="1">
        <v>0.150290000000009</v>
      </c>
      <c r="E4" s="1">
        <v>0.20389000000006299</v>
      </c>
      <c r="F4" s="1">
        <v>0.15020000000000899</v>
      </c>
      <c r="G4" s="9"/>
      <c r="H4" s="1"/>
      <c r="I4" s="1"/>
    </row>
    <row r="5" spans="1:9">
      <c r="A5" t="s">
        <v>8</v>
      </c>
      <c r="B5" s="1">
        <v>0.51742000000027999</v>
      </c>
      <c r="C5" s="1">
        <v>0.27980000000001304</v>
      </c>
      <c r="D5" s="1">
        <v>0.10663999999999101</v>
      </c>
      <c r="E5" s="1">
        <v>0.16630000000002501</v>
      </c>
      <c r="F5" s="1">
        <v>0.113499999999988</v>
      </c>
      <c r="G5" s="9"/>
      <c r="H5" s="1"/>
      <c r="I5" s="1"/>
    </row>
    <row r="6" spans="1:9">
      <c r="A6" t="s">
        <v>9</v>
      </c>
      <c r="B6" s="1">
        <v>0.48258000000034101</v>
      </c>
      <c r="C6" s="1">
        <v>0.25212000000000639</v>
      </c>
      <c r="D6" s="1">
        <v>9.8149999999994603E-2</v>
      </c>
      <c r="E6" s="1">
        <v>0.153370000000012</v>
      </c>
      <c r="F6" s="1">
        <v>9.8749999999994398E-2</v>
      </c>
      <c r="G6" s="9"/>
      <c r="H6" s="1"/>
      <c r="I6" s="1"/>
    </row>
    <row r="7" spans="1:9">
      <c r="A7" t="s">
        <v>10</v>
      </c>
      <c r="B7" s="1">
        <v>0.30921000000016802</v>
      </c>
      <c r="C7" s="1">
        <v>0.14956000000000741</v>
      </c>
      <c r="D7" s="1">
        <v>8.7549999999998698E-2</v>
      </c>
      <c r="E7" s="1">
        <v>6.9880000000005604E-2</v>
      </c>
      <c r="F7" s="1">
        <v>7.9680000000001805E-2</v>
      </c>
      <c r="G7" s="9"/>
      <c r="H7" s="1"/>
      <c r="I7" s="1"/>
    </row>
    <row r="8" spans="1:9">
      <c r="A8" t="s">
        <v>11</v>
      </c>
      <c r="B8" s="1">
        <v>0.38151000000023999</v>
      </c>
      <c r="C8" s="1">
        <v>0.1230500000000139</v>
      </c>
      <c r="D8" s="1">
        <v>0.124929999999984</v>
      </c>
      <c r="E8" s="1">
        <v>6.5940000000007104E-2</v>
      </c>
      <c r="F8" s="1">
        <v>5.7110000000006801E-2</v>
      </c>
      <c r="G8" s="9"/>
      <c r="H8" s="1"/>
      <c r="I8" s="1"/>
    </row>
    <row r="9" spans="1:9">
      <c r="A9" t="s">
        <v>12</v>
      </c>
      <c r="B9" s="1">
        <v>0.32499000000018402</v>
      </c>
      <c r="C9" s="1">
        <v>0.113989999999998</v>
      </c>
      <c r="D9" s="1">
        <v>5.9890000000007597E-2</v>
      </c>
      <c r="E9" s="1">
        <v>8.6679999999998994E-2</v>
      </c>
      <c r="F9" s="1">
        <v>2.7309999999998998E-2</v>
      </c>
      <c r="G9" s="9"/>
      <c r="H9" s="1"/>
      <c r="I9" s="1"/>
    </row>
    <row r="10" spans="1:9">
      <c r="A10" t="s">
        <v>13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9"/>
      <c r="H10" s="1"/>
      <c r="I10" s="1"/>
    </row>
    <row r="11" spans="1:9">
      <c r="A11" t="s">
        <v>14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9"/>
      <c r="H11" s="1"/>
      <c r="I11" s="1"/>
    </row>
    <row r="12" spans="1:9">
      <c r="A12" t="s">
        <v>15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9"/>
      <c r="H12" s="1"/>
      <c r="I12" s="1"/>
    </row>
    <row r="13" spans="1:9">
      <c r="A13" t="s">
        <v>16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9"/>
      <c r="H13" s="1"/>
      <c r="I13" s="1"/>
    </row>
    <row r="14" spans="1:9">
      <c r="A14" t="s">
        <v>17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9"/>
      <c r="H14" s="1"/>
      <c r="I14" s="1"/>
    </row>
    <row r="15" spans="1:9">
      <c r="A15" t="s">
        <v>18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9"/>
      <c r="H15" s="1"/>
      <c r="I15" s="1"/>
    </row>
    <row r="16" spans="1:9">
      <c r="A16" t="s">
        <v>19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9"/>
      <c r="H16" s="1"/>
      <c r="I16" s="1"/>
    </row>
    <row r="17" spans="1:9">
      <c r="A17" t="s">
        <v>20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9"/>
      <c r="H17" s="1"/>
      <c r="I17" s="1"/>
    </row>
    <row r="18" spans="1:9">
      <c r="A18" t="s">
        <v>21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9"/>
      <c r="H18" s="1"/>
      <c r="I18" s="1"/>
    </row>
    <row r="19" spans="1:9">
      <c r="A19" t="s">
        <v>22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9"/>
      <c r="H19" s="1"/>
      <c r="I19" s="1"/>
    </row>
    <row r="20" spans="1:9">
      <c r="A20" t="s">
        <v>23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9"/>
      <c r="H20" s="1"/>
      <c r="I20" s="1"/>
    </row>
    <row r="21" spans="1:9">
      <c r="A21" t="s">
        <v>24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9"/>
      <c r="H21" s="1"/>
      <c r="I21" s="1"/>
    </row>
    <row r="22" spans="1:9">
      <c r="A22" t="s">
        <v>25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9"/>
      <c r="H22" s="1"/>
      <c r="I22" s="1"/>
    </row>
    <row r="23" spans="1:9">
      <c r="A23" t="s">
        <v>26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9"/>
      <c r="H23" s="1"/>
      <c r="I23" s="1"/>
    </row>
    <row r="24" spans="1:9">
      <c r="A24" t="s">
        <v>27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9"/>
      <c r="H24" s="1"/>
      <c r="I24" s="1"/>
    </row>
    <row r="25" spans="1:9">
      <c r="A25" t="s">
        <v>28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9"/>
      <c r="H25" s="1"/>
      <c r="I25" s="1"/>
    </row>
    <row r="26" spans="1:9">
      <c r="A26" t="s">
        <v>29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9"/>
      <c r="H26" s="1"/>
      <c r="I26" s="1"/>
    </row>
    <row r="27" spans="1:9">
      <c r="A27" t="s">
        <v>30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9"/>
      <c r="H27" s="1"/>
      <c r="I27" s="1"/>
    </row>
    <row r="28" spans="1:9">
      <c r="A28" t="s">
        <v>31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9"/>
      <c r="H28" s="1"/>
      <c r="I28" s="1"/>
    </row>
    <row r="29" spans="1:9">
      <c r="A29" t="s">
        <v>32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9"/>
      <c r="H29" s="1"/>
      <c r="I29" s="1"/>
    </row>
    <row r="30" spans="1:9">
      <c r="A30" t="s">
        <v>33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9"/>
      <c r="H30" s="1"/>
      <c r="I30" s="1"/>
    </row>
    <row r="31" spans="1:9">
      <c r="A31" t="s">
        <v>34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9"/>
      <c r="H31" s="1"/>
      <c r="I31" s="1"/>
    </row>
    <row r="32" spans="1:9">
      <c r="A32" t="s">
        <v>35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9"/>
      <c r="H32" s="1"/>
      <c r="I32" s="1"/>
    </row>
    <row r="33" spans="1:9">
      <c r="A33" t="s">
        <v>36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9"/>
      <c r="H33" s="1"/>
      <c r="I33" s="1"/>
    </row>
  </sheetData>
  <sortState ref="A2:H33">
    <sortCondition descending="1" ref="G2:G3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opLeftCell="A2" workbookViewId="0" xr3:uid="{958C4451-9541-5A59-BF78-D2F731DF1C81}">
      <selection activeCell="D33" sqref="D33"/>
    </sheetView>
  </sheetViews>
  <sheetFormatPr defaultRowHeight="15"/>
  <cols>
    <col min="1" max="3" width="12" bestFit="1" customWidth="1"/>
    <col min="5" max="5" width="10.5703125" bestFit="1" customWidth="1"/>
  </cols>
  <sheetData>
    <row r="1" spans="1:11">
      <c r="A1" t="s">
        <v>37</v>
      </c>
      <c r="B1" s="2" t="s">
        <v>38</v>
      </c>
      <c r="C1" s="2" t="s">
        <v>39</v>
      </c>
      <c r="D1" s="2" t="s">
        <v>40</v>
      </c>
      <c r="E1" s="4" t="s">
        <v>41</v>
      </c>
      <c r="F1" s="4" t="s">
        <v>39</v>
      </c>
      <c r="G1" s="4" t="s">
        <v>40</v>
      </c>
    </row>
    <row r="2" spans="1:11">
      <c r="A2" t="s">
        <v>42</v>
      </c>
      <c r="B2" s="3">
        <v>3.5937017518562961</v>
      </c>
      <c r="C2" s="3">
        <v>3.4121594000000002</v>
      </c>
      <c r="D2" s="3">
        <v>3.78490298</v>
      </c>
      <c r="E2" s="5">
        <f>B2/$C$13</f>
        <v>1.4471929282595022</v>
      </c>
      <c r="F2" s="5">
        <f t="shared" ref="F2:G2" si="0">C2/$C$13</f>
        <v>1.3740853567560183</v>
      </c>
      <c r="G2" s="5">
        <f t="shared" si="0"/>
        <v>1.524190154059103</v>
      </c>
      <c r="I2" s="11" t="s">
        <v>43</v>
      </c>
    </row>
    <row r="3" spans="1:11">
      <c r="A3" t="s">
        <v>44</v>
      </c>
      <c r="B3" s="3">
        <v>2.9279858254891939</v>
      </c>
      <c r="C3" s="3">
        <v>3.2851033100000002</v>
      </c>
      <c r="D3" s="3">
        <v>2.6096899200000001</v>
      </c>
      <c r="E3" s="5">
        <f t="shared" ref="E3:E33" si="1">B3/$C$13</f>
        <v>1.1791074143821896</v>
      </c>
      <c r="F3" s="5">
        <f t="shared" ref="F3:F33" si="2">C3/$C$13</f>
        <v>1.3229195428858707</v>
      </c>
      <c r="G3" s="5">
        <f t="shared" ref="G3:G33" si="3">D3/$C$13</f>
        <v>1.0509288354892754</v>
      </c>
      <c r="I3" s="10" t="s">
        <v>45</v>
      </c>
    </row>
    <row r="4" spans="1:11">
      <c r="A4" t="s">
        <v>46</v>
      </c>
      <c r="B4" s="3">
        <v>2.7689747104623432</v>
      </c>
      <c r="C4" s="3">
        <v>3.6647155699999998</v>
      </c>
      <c r="D4" s="3">
        <v>2.0921735400000001</v>
      </c>
      <c r="E4" s="5">
        <f t="shared" si="1"/>
        <v>1.1150732298362267</v>
      </c>
      <c r="F4" s="5">
        <f t="shared" si="2"/>
        <v>1.4757903752716781</v>
      </c>
      <c r="G4" s="5">
        <f t="shared" si="3"/>
        <v>0.84252365968201881</v>
      </c>
      <c r="I4" s="11" t="s">
        <v>47</v>
      </c>
    </row>
    <row r="5" spans="1:11">
      <c r="A5" t="s">
        <v>48</v>
      </c>
      <c r="B5" s="3">
        <v>2.7202987868923829</v>
      </c>
      <c r="C5" s="3">
        <v>2.5520458700000002</v>
      </c>
      <c r="D5" s="3">
        <v>2.8996443900000002</v>
      </c>
      <c r="E5" s="5">
        <f t="shared" si="1"/>
        <v>1.0954713103584737</v>
      </c>
      <c r="F5" s="5">
        <f t="shared" si="2"/>
        <v>1.0277154284576133</v>
      </c>
      <c r="G5" s="5">
        <f t="shared" si="3"/>
        <v>1.1676942454970705</v>
      </c>
      <c r="I5" s="11" t="s">
        <v>49</v>
      </c>
    </row>
    <row r="6" spans="1:11">
      <c r="A6" t="s">
        <v>50</v>
      </c>
      <c r="B6" s="3">
        <v>2.681279213587362</v>
      </c>
      <c r="C6" s="3">
        <v>3.5620038799999998</v>
      </c>
      <c r="D6" s="3">
        <v>2.0183184700000001</v>
      </c>
      <c r="E6" s="5">
        <f t="shared" si="1"/>
        <v>1.0797580279410997</v>
      </c>
      <c r="F6" s="5">
        <f t="shared" si="2"/>
        <v>1.4344281138261363</v>
      </c>
      <c r="G6" s="5">
        <f t="shared" si="3"/>
        <v>0.81278203324768794</v>
      </c>
      <c r="I6" s="11" t="s">
        <v>51</v>
      </c>
    </row>
    <row r="7" spans="1:11">
      <c r="A7" t="s">
        <v>52</v>
      </c>
      <c r="B7" s="3">
        <v>2.6495086180612244</v>
      </c>
      <c r="C7" s="3">
        <v>2.65075269</v>
      </c>
      <c r="D7" s="3">
        <v>2.64826513</v>
      </c>
      <c r="E7" s="5">
        <f t="shared" si="1"/>
        <v>1.0669639274990501</v>
      </c>
      <c r="F7" s="5">
        <f t="shared" si="2"/>
        <v>1.0674649184650122</v>
      </c>
      <c r="G7" s="5">
        <f t="shared" si="3"/>
        <v>1.0664631716620778</v>
      </c>
    </row>
    <row r="8" spans="1:11">
      <c r="A8" t="s">
        <v>53</v>
      </c>
      <c r="B8" s="3">
        <v>2.6240760646412196</v>
      </c>
      <c r="C8" s="3">
        <v>3.0311603699999998</v>
      </c>
      <c r="D8" s="3">
        <v>2.27166311</v>
      </c>
      <c r="E8" s="5">
        <f t="shared" si="1"/>
        <v>1.0567221728965706</v>
      </c>
      <c r="F8" s="5">
        <f t="shared" si="2"/>
        <v>1.2206560685283794</v>
      </c>
      <c r="G8" s="5">
        <f t="shared" si="3"/>
        <v>0.91480457065805187</v>
      </c>
      <c r="K8" s="12"/>
    </row>
    <row r="9" spans="1:11">
      <c r="A9" t="s">
        <v>54</v>
      </c>
      <c r="B9" s="3">
        <v>2.5688639840309841</v>
      </c>
      <c r="C9" s="3">
        <v>2.51783556</v>
      </c>
      <c r="D9" s="3">
        <v>2.6209265899999998</v>
      </c>
      <c r="E9" s="5">
        <f t="shared" si="1"/>
        <v>1.0344881261862799</v>
      </c>
      <c r="F9" s="5">
        <f t="shared" si="2"/>
        <v>1.0139388487289278</v>
      </c>
      <c r="G9" s="5">
        <f t="shared" si="3"/>
        <v>1.055453871367054</v>
      </c>
    </row>
    <row r="10" spans="1:11">
      <c r="A10" t="s">
        <v>55</v>
      </c>
      <c r="B10" s="3">
        <v>2.5133368082636554</v>
      </c>
      <c r="C10" s="3">
        <v>2.1610710700000002</v>
      </c>
      <c r="D10" s="3">
        <v>2.92302368</v>
      </c>
      <c r="E10" s="5">
        <f t="shared" si="1"/>
        <v>1.0121271898466986</v>
      </c>
      <c r="F10" s="5">
        <f t="shared" si="2"/>
        <v>0.87026887202164716</v>
      </c>
      <c r="G10" s="5">
        <f t="shared" si="3"/>
        <v>1.1771091456451563</v>
      </c>
    </row>
    <row r="11" spans="1:11">
      <c r="A11" t="s">
        <v>56</v>
      </c>
      <c r="B11" s="3">
        <v>2.4569441285730811</v>
      </c>
      <c r="C11" s="3">
        <v>2.4295480899999999</v>
      </c>
      <c r="D11" s="3">
        <v>2.48464909</v>
      </c>
      <c r="E11" s="5">
        <f t="shared" si="1"/>
        <v>0.98941771285361002</v>
      </c>
      <c r="F11" s="5">
        <f t="shared" si="2"/>
        <v>0.97838525773548346</v>
      </c>
      <c r="G11" s="5">
        <f t="shared" si="3"/>
        <v>1.0005745719986487</v>
      </c>
    </row>
    <row r="12" spans="1:11">
      <c r="A12" t="s">
        <v>15</v>
      </c>
      <c r="B12" s="3">
        <v>2.446702518123812</v>
      </c>
      <c r="C12" s="3">
        <v>2.7665186899999998</v>
      </c>
      <c r="D12" s="3">
        <v>2.1638578599999998</v>
      </c>
      <c r="E12" s="5">
        <f t="shared" si="1"/>
        <v>0.98529339001337579</v>
      </c>
      <c r="F12" s="5">
        <f t="shared" si="2"/>
        <v>1.1140841840861366</v>
      </c>
      <c r="G12" s="5">
        <f t="shared" si="3"/>
        <v>0.87139111951435033</v>
      </c>
    </row>
    <row r="13" spans="1:11">
      <c r="A13" t="s">
        <v>57</v>
      </c>
      <c r="B13" s="3">
        <v>2.4262933034784333</v>
      </c>
      <c r="C13" s="3">
        <v>2.4832223</v>
      </c>
      <c r="D13" s="3">
        <v>2.37066943</v>
      </c>
      <c r="E13" s="5">
        <f t="shared" si="1"/>
        <v>0.97707454684118833</v>
      </c>
      <c r="F13" s="5">
        <f t="shared" si="2"/>
        <v>1</v>
      </c>
      <c r="G13" s="5">
        <f t="shared" si="3"/>
        <v>0.95467467008491347</v>
      </c>
    </row>
    <row r="14" spans="1:11">
      <c r="A14" t="s">
        <v>22</v>
      </c>
      <c r="B14" s="3">
        <v>2.3502193725513383</v>
      </c>
      <c r="C14" s="3">
        <v>2.9282060400000001</v>
      </c>
      <c r="D14" s="3">
        <v>1.8863191399999999</v>
      </c>
      <c r="E14" s="5">
        <f t="shared" si="1"/>
        <v>0.94643937941091227</v>
      </c>
      <c r="F14" s="5">
        <f t="shared" si="2"/>
        <v>1.1791960953314571</v>
      </c>
      <c r="G14" s="5">
        <f t="shared" si="3"/>
        <v>0.75962556392957647</v>
      </c>
    </row>
    <row r="15" spans="1:11">
      <c r="A15" t="s">
        <v>20</v>
      </c>
      <c r="B15" s="3">
        <v>2.2134638783673268</v>
      </c>
      <c r="C15" s="3">
        <v>2.1282867400000001</v>
      </c>
      <c r="D15" s="3">
        <v>2.3020499299999999</v>
      </c>
      <c r="E15" s="5">
        <f t="shared" si="1"/>
        <v>0.89136759055656312</v>
      </c>
      <c r="F15" s="5">
        <f t="shared" si="2"/>
        <v>0.8570665381025292</v>
      </c>
      <c r="G15" s="5">
        <f t="shared" si="3"/>
        <v>0.92704142114058818</v>
      </c>
    </row>
    <row r="16" spans="1:11">
      <c r="A16" t="s">
        <v>58</v>
      </c>
      <c r="B16" s="3">
        <v>2.2018308820474148</v>
      </c>
      <c r="C16" s="3">
        <v>1.5831192700000001</v>
      </c>
      <c r="D16" s="3">
        <v>3.0623461700000001</v>
      </c>
      <c r="E16" s="5">
        <f t="shared" si="1"/>
        <v>0.886682953051531</v>
      </c>
      <c r="F16" s="5">
        <f t="shared" si="2"/>
        <v>0.63752619731225835</v>
      </c>
      <c r="G16" s="5">
        <f t="shared" si="3"/>
        <v>1.2332146703096216</v>
      </c>
    </row>
    <row r="17" spans="1:7">
      <c r="A17" t="s">
        <v>59</v>
      </c>
      <c r="B17" s="3">
        <v>2.1821931197268567</v>
      </c>
      <c r="C17" s="3">
        <v>2.2800959000000001</v>
      </c>
      <c r="D17" s="3">
        <v>2.0884940900000002</v>
      </c>
      <c r="E17" s="5">
        <f t="shared" si="1"/>
        <v>0.87877477571253149</v>
      </c>
      <c r="F17" s="5">
        <f t="shared" si="2"/>
        <v>0.9182004768562203</v>
      </c>
      <c r="G17" s="5">
        <f t="shared" si="3"/>
        <v>0.84104193571393115</v>
      </c>
    </row>
    <row r="18" spans="1:7">
      <c r="A18" t="s">
        <v>60</v>
      </c>
      <c r="B18" s="3">
        <v>2.0822725175923673</v>
      </c>
      <c r="C18" s="3">
        <v>1.80940528</v>
      </c>
      <c r="D18" s="3">
        <v>2.3962894800000001</v>
      </c>
      <c r="E18" s="5">
        <f t="shared" si="1"/>
        <v>0.8385364925211759</v>
      </c>
      <c r="F18" s="5">
        <f t="shared" si="2"/>
        <v>0.72865215490373136</v>
      </c>
      <c r="G18" s="5">
        <f t="shared" si="3"/>
        <v>0.96499193004186534</v>
      </c>
    </row>
    <row r="19" spans="1:7">
      <c r="A19" t="s">
        <v>61</v>
      </c>
      <c r="B19" s="3">
        <v>2.0632962974114175</v>
      </c>
      <c r="C19" s="3">
        <v>2.72847156</v>
      </c>
      <c r="D19" s="3">
        <v>1.5602844</v>
      </c>
      <c r="E19" s="5">
        <f t="shared" si="1"/>
        <v>0.83089471990140296</v>
      </c>
      <c r="F19" s="5">
        <f t="shared" si="2"/>
        <v>1.0987625070860552</v>
      </c>
      <c r="G19" s="5">
        <f t="shared" si="3"/>
        <v>0.62833053649687343</v>
      </c>
    </row>
    <row r="20" spans="1:7">
      <c r="A20" t="s">
        <v>62</v>
      </c>
      <c r="B20" s="3">
        <v>2.0557576718631179</v>
      </c>
      <c r="C20" s="3">
        <v>2.5242184399999998</v>
      </c>
      <c r="D20" s="3">
        <v>1.67423688</v>
      </c>
      <c r="E20" s="5">
        <f t="shared" si="1"/>
        <v>0.82785889602518381</v>
      </c>
      <c r="F20" s="5">
        <f t="shared" si="2"/>
        <v>1.0165092509035538</v>
      </c>
      <c r="G20" s="5">
        <f t="shared" si="3"/>
        <v>0.67421949295477901</v>
      </c>
    </row>
    <row r="21" spans="1:7">
      <c r="A21" t="s">
        <v>63</v>
      </c>
      <c r="B21" s="3">
        <v>1.915485251990644</v>
      </c>
      <c r="C21" s="3">
        <v>2.1899205899999998</v>
      </c>
      <c r="D21" s="3">
        <v>1.67544146</v>
      </c>
      <c r="E21" s="5">
        <f t="shared" si="1"/>
        <v>0.77137083216055369</v>
      </c>
      <c r="F21" s="5">
        <f t="shared" si="2"/>
        <v>0.88188664784461701</v>
      </c>
      <c r="G21" s="5">
        <f t="shared" si="3"/>
        <v>0.67470458041553516</v>
      </c>
    </row>
    <row r="22" spans="1:7">
      <c r="A22" t="s">
        <v>64</v>
      </c>
      <c r="B22" s="3">
        <v>1.8455186043253362</v>
      </c>
      <c r="C22" s="3">
        <v>1.93234996</v>
      </c>
      <c r="D22" s="3">
        <v>1.76258907</v>
      </c>
      <c r="E22" s="5">
        <f t="shared" si="1"/>
        <v>0.74319508339037399</v>
      </c>
      <c r="F22" s="5">
        <f t="shared" si="2"/>
        <v>0.77816229340401788</v>
      </c>
      <c r="G22" s="5">
        <f t="shared" si="3"/>
        <v>0.7097991468584991</v>
      </c>
    </row>
    <row r="23" spans="1:7">
      <c r="A23" t="s">
        <v>34</v>
      </c>
      <c r="B23" s="3">
        <v>1.7953365812989193</v>
      </c>
      <c r="C23" s="3">
        <v>1.7358641100000001</v>
      </c>
      <c r="D23" s="3">
        <v>1.8568466400000001</v>
      </c>
      <c r="E23" s="5">
        <f t="shared" si="1"/>
        <v>0.72298665379209881</v>
      </c>
      <c r="F23" s="5">
        <f t="shared" si="2"/>
        <v>0.6990369368058591</v>
      </c>
      <c r="G23" s="5">
        <f t="shared" si="3"/>
        <v>0.74775691246007259</v>
      </c>
    </row>
    <row r="24" spans="1:7">
      <c r="A24" t="s">
        <v>65</v>
      </c>
      <c r="B24" s="3">
        <v>1.775027447526353</v>
      </c>
      <c r="C24" s="3">
        <v>2.0786279300000001</v>
      </c>
      <c r="D24" s="3">
        <v>1.5157702799999999</v>
      </c>
      <c r="E24" s="5">
        <f t="shared" si="1"/>
        <v>0.71480811344451645</v>
      </c>
      <c r="F24" s="5">
        <f t="shared" si="2"/>
        <v>0.837068807734209</v>
      </c>
      <c r="G24" s="5">
        <f t="shared" si="3"/>
        <v>0.61040458600907377</v>
      </c>
    </row>
    <row r="25" spans="1:7">
      <c r="A25" t="s">
        <v>66</v>
      </c>
      <c r="B25" s="3">
        <v>1.7738827630989493</v>
      </c>
      <c r="C25" s="3">
        <v>2.1211160699999998</v>
      </c>
      <c r="D25" s="3">
        <v>1.48349263</v>
      </c>
      <c r="E25" s="5">
        <f t="shared" si="1"/>
        <v>0.71434714608472605</v>
      </c>
      <c r="F25" s="5">
        <f t="shared" si="2"/>
        <v>0.85417889087094612</v>
      </c>
      <c r="G25" s="5">
        <f t="shared" si="3"/>
        <v>0.59740629342769669</v>
      </c>
    </row>
    <row r="26" spans="1:7">
      <c r="A26" t="s">
        <v>67</v>
      </c>
      <c r="B26" s="3">
        <v>1.6573387394243726</v>
      </c>
      <c r="C26" s="3">
        <v>1.59409161</v>
      </c>
      <c r="D26" s="3">
        <v>1.72309526</v>
      </c>
      <c r="E26" s="5">
        <f t="shared" si="1"/>
        <v>0.66741456833098378</v>
      </c>
      <c r="F26" s="5">
        <f t="shared" si="2"/>
        <v>0.6419447868199315</v>
      </c>
      <c r="G26" s="5">
        <f t="shared" si="3"/>
        <v>0.69389488810566824</v>
      </c>
    </row>
    <row r="27" spans="1:7">
      <c r="A27" t="s">
        <v>68</v>
      </c>
      <c r="B27" s="3">
        <v>1.600525244444206</v>
      </c>
      <c r="C27" s="3">
        <v>1.4636736299999999</v>
      </c>
      <c r="D27" s="3">
        <v>1.75017231</v>
      </c>
      <c r="E27" s="5">
        <f t="shared" si="1"/>
        <v>0.64453562793963548</v>
      </c>
      <c r="F27" s="5">
        <f t="shared" si="2"/>
        <v>0.58942513120955786</v>
      </c>
      <c r="G27" s="5">
        <f t="shared" si="3"/>
        <v>0.704798885705883</v>
      </c>
    </row>
    <row r="28" spans="1:7">
      <c r="A28" t="s">
        <v>69</v>
      </c>
      <c r="B28" s="3">
        <v>1.5889311515703293</v>
      </c>
      <c r="C28" s="3">
        <v>1.7895300599999999</v>
      </c>
      <c r="D28" s="3">
        <v>1.4108185499999999</v>
      </c>
      <c r="E28" s="5">
        <f t="shared" si="1"/>
        <v>0.63986665695227096</v>
      </c>
      <c r="F28" s="5">
        <f t="shared" si="2"/>
        <v>0.72064835274715433</v>
      </c>
      <c r="G28" s="5">
        <f t="shared" si="3"/>
        <v>0.56814025470051555</v>
      </c>
    </row>
    <row r="29" spans="1:7">
      <c r="A29" t="s">
        <v>26</v>
      </c>
      <c r="B29" s="3">
        <v>1.5213529024166226</v>
      </c>
      <c r="C29" s="3">
        <v>1.41762148</v>
      </c>
      <c r="D29" s="3">
        <v>1.63267465</v>
      </c>
      <c r="E29" s="5">
        <f t="shared" si="1"/>
        <v>0.6126527223988858</v>
      </c>
      <c r="F29" s="5">
        <f t="shared" si="2"/>
        <v>0.57087981208931637</v>
      </c>
      <c r="G29" s="5">
        <f t="shared" si="3"/>
        <v>0.65748227615385058</v>
      </c>
    </row>
    <row r="30" spans="1:7">
      <c r="A30" t="s">
        <v>70</v>
      </c>
      <c r="B30" s="3">
        <v>1.4548794904345117</v>
      </c>
      <c r="C30" s="3">
        <v>1.70145006</v>
      </c>
      <c r="D30" s="3">
        <v>1.2440414099999999</v>
      </c>
      <c r="E30" s="5">
        <f t="shared" si="1"/>
        <v>0.58588370861300321</v>
      </c>
      <c r="F30" s="5">
        <f t="shared" si="2"/>
        <v>0.6851783104557333</v>
      </c>
      <c r="G30" s="5">
        <f t="shared" si="3"/>
        <v>0.50097867194572143</v>
      </c>
    </row>
    <row r="31" spans="1:7">
      <c r="A31" t="s">
        <v>71</v>
      </c>
      <c r="B31" s="3">
        <v>1.424424856482426</v>
      </c>
      <c r="C31" s="3">
        <v>1.31686156</v>
      </c>
      <c r="D31" s="3">
        <v>1.54077409</v>
      </c>
      <c r="E31" s="5">
        <f t="shared" si="1"/>
        <v>0.57361954927773728</v>
      </c>
      <c r="F31" s="5">
        <f t="shared" si="2"/>
        <v>0.53030353343717962</v>
      </c>
      <c r="G31" s="5">
        <f t="shared" si="3"/>
        <v>0.62047368453480789</v>
      </c>
    </row>
    <row r="32" spans="1:7">
      <c r="A32" t="s">
        <v>72</v>
      </c>
      <c r="B32" s="3">
        <v>1.291349355499871</v>
      </c>
      <c r="C32" s="3">
        <v>1.57164079</v>
      </c>
      <c r="D32" s="3">
        <v>1.06104599</v>
      </c>
      <c r="E32" s="5">
        <f t="shared" si="1"/>
        <v>0.52002970314009778</v>
      </c>
      <c r="F32" s="5">
        <f t="shared" si="2"/>
        <v>0.6329037839262317</v>
      </c>
      <c r="G32" s="5">
        <f t="shared" si="3"/>
        <v>0.42728594616760651</v>
      </c>
    </row>
    <row r="33" spans="1:7">
      <c r="A33" t="s">
        <v>73</v>
      </c>
      <c r="B33" s="3">
        <v>1.1183141374425434</v>
      </c>
      <c r="C33" s="3">
        <v>1.18291302</v>
      </c>
      <c r="D33" s="3">
        <v>1.0572429999999999</v>
      </c>
      <c r="E33" s="5">
        <f t="shared" si="1"/>
        <v>0.45034797627362777</v>
      </c>
      <c r="F33" s="5">
        <f t="shared" si="2"/>
        <v>0.47636211224424008</v>
      </c>
      <c r="G33" s="5">
        <f t="shared" si="3"/>
        <v>0.42575447232412494</v>
      </c>
    </row>
  </sheetData>
  <sortState ref="A2:G33">
    <sortCondition descending="1" ref="B2:B33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tabSelected="1" workbookViewId="0" xr3:uid="{842E5F09-E766-5B8D-85AF-A39847EA96FD}">
      <selection activeCell="A3" sqref="A3"/>
    </sheetView>
  </sheetViews>
  <sheetFormatPr defaultRowHeight="15"/>
  <cols>
    <col min="1" max="1" width="16.7109375" bestFit="1" customWidth="1"/>
    <col min="4" max="4" width="12.5703125" customWidth="1"/>
    <col min="5" max="5" width="3.7109375" bestFit="1" customWidth="1"/>
    <col min="6" max="6" width="6" customWidth="1"/>
    <col min="12" max="12" width="10.140625" bestFit="1" customWidth="1"/>
  </cols>
  <sheetData>
    <row r="1" spans="1:12">
      <c r="A1" t="s">
        <v>42</v>
      </c>
      <c r="B1" s="3">
        <f>VLOOKUP(A1,Ranking!A:D,3,FALSE)</f>
        <v>3.4121594000000002</v>
      </c>
      <c r="C1" s="3">
        <f>VLOOKUP(A1,Ranking!A:D,4,FALSE)</f>
        <v>3.78490298</v>
      </c>
    </row>
    <row r="2" spans="1:12">
      <c r="A2" t="s">
        <v>72</v>
      </c>
      <c r="B2" s="3">
        <f>VLOOKUP(A2,Ranking!A:D,3,FALSE)</f>
        <v>1.57164079</v>
      </c>
      <c r="C2" s="3">
        <f>VLOOKUP(A2,Ranking!A:D,4,FALSE)</f>
        <v>1.06104599</v>
      </c>
    </row>
    <row r="3" spans="1:12">
      <c r="G3" s="16" t="str">
        <f>A1</f>
        <v>Brazil</v>
      </c>
      <c r="H3" s="16"/>
      <c r="I3" s="16"/>
      <c r="J3" s="16"/>
      <c r="K3" s="16"/>
      <c r="L3" t="str">
        <f>CONCATENATE("Vitória ", A1)</f>
        <v>Vitória Brazil</v>
      </c>
    </row>
    <row r="4" spans="1:12">
      <c r="G4" s="13">
        <v>0</v>
      </c>
      <c r="H4" s="13">
        <v>1</v>
      </c>
      <c r="I4" s="13">
        <v>2</v>
      </c>
      <c r="J4" s="13">
        <v>3</v>
      </c>
      <c r="K4" s="13">
        <v>4</v>
      </c>
      <c r="L4" s="7">
        <f>SUM(H5:K5,I6:K6,J7:K7,K8)</f>
        <v>0.67808276761864239</v>
      </c>
    </row>
    <row r="5" spans="1:12">
      <c r="E5" s="17" t="str">
        <f>A2</f>
        <v>Saudi Arabia</v>
      </c>
      <c r="F5" s="13">
        <v>0</v>
      </c>
      <c r="G5" s="6">
        <f t="shared" ref="G5:K9" si="0">_xlfn.POISSON.DIST(G$4,$B$1/$C$2,FALSE)*_xlfn.POISSON.DIST($F5,$B$2/$C$1,FALSE)</f>
        <v>2.6487447251873422E-2</v>
      </c>
      <c r="H5" s="8">
        <f t="shared" si="0"/>
        <v>8.5179523766433604E-2</v>
      </c>
      <c r="I5" s="6">
        <f t="shared" si="0"/>
        <v>0.13696207112905631</v>
      </c>
      <c r="J5" s="6">
        <f t="shared" si="0"/>
        <v>0.14681626208193482</v>
      </c>
      <c r="K5" s="6">
        <f t="shared" si="0"/>
        <v>0.11803458414081974</v>
      </c>
      <c r="L5" s="15"/>
    </row>
    <row r="6" spans="1:12">
      <c r="E6" s="17"/>
      <c r="F6" s="13">
        <v>1</v>
      </c>
      <c r="G6" s="6">
        <f t="shared" si="0"/>
        <v>1.0998631337180979E-2</v>
      </c>
      <c r="H6" s="6">
        <f t="shared" si="0"/>
        <v>3.536989316014158E-2</v>
      </c>
      <c r="I6" s="6">
        <f t="shared" si="0"/>
        <v>5.6872046339561985E-2</v>
      </c>
      <c r="J6" s="6">
        <f t="shared" si="0"/>
        <v>6.0963894541703444E-2</v>
      </c>
      <c r="K6" s="6">
        <f t="shared" si="0"/>
        <v>4.9012608261467097E-2</v>
      </c>
    </row>
    <row r="7" spans="1:12">
      <c r="E7" s="17"/>
      <c r="F7" s="13">
        <v>2</v>
      </c>
      <c r="G7" s="6">
        <f t="shared" si="0"/>
        <v>2.2835324623943025E-3</v>
      </c>
      <c r="H7" s="6">
        <f t="shared" si="0"/>
        <v>7.3434863617588024E-3</v>
      </c>
      <c r="I7" s="6">
        <f t="shared" si="0"/>
        <v>1.1807756805172558E-2</v>
      </c>
      <c r="J7" s="6">
        <f t="shared" si="0"/>
        <v>1.2657305072982275E-2</v>
      </c>
      <c r="K7" s="6">
        <f t="shared" si="0"/>
        <v>1.0175982683711044E-2</v>
      </c>
    </row>
    <row r="8" spans="1:12">
      <c r="E8" s="17"/>
      <c r="F8" s="13">
        <v>3</v>
      </c>
      <c r="G8" s="6">
        <f t="shared" si="0"/>
        <v>3.1607087263551008E-4</v>
      </c>
      <c r="H8" s="6">
        <f t="shared" si="0"/>
        <v>1.0164349229852502E-3</v>
      </c>
      <c r="I8" s="6">
        <f t="shared" si="0"/>
        <v>1.6343485624748457E-3</v>
      </c>
      <c r="J8" s="6">
        <f t="shared" si="0"/>
        <v>1.7519371962142851E-3</v>
      </c>
      <c r="K8" s="6">
        <f t="shared" si="0"/>
        <v>1.408489600972013E-3</v>
      </c>
    </row>
    <row r="9" spans="1:12">
      <c r="E9" s="17"/>
      <c r="F9" s="13">
        <v>4</v>
      </c>
      <c r="G9" s="6">
        <f t="shared" si="0"/>
        <v>3.2811268782169835E-5</v>
      </c>
      <c r="H9" s="6">
        <f t="shared" si="0"/>
        <v>1.0551595336692933E-4</v>
      </c>
      <c r="I9" s="6">
        <f t="shared" si="0"/>
        <v>1.6966147345362934E-4</v>
      </c>
      <c r="J9" s="6">
        <f t="shared" si="0"/>
        <v>1.8186833147626702E-4</v>
      </c>
      <c r="K9" s="6">
        <f t="shared" si="0"/>
        <v>1.4621508932168446E-4</v>
      </c>
      <c r="L9" t="s">
        <v>74</v>
      </c>
    </row>
    <row r="10" spans="1:12">
      <c r="D10" t="str">
        <f>CONCATENATE("Vitória ", A2)</f>
        <v>Vitória Saudi Arabia</v>
      </c>
      <c r="F10" s="7">
        <f>SUM(G6:G9,H7:H9,I8:I9,J9)</f>
        <v>2.4082361546508689E-2</v>
      </c>
      <c r="L10" s="7">
        <f>1-F10-L4</f>
        <v>0.29783487083484894</v>
      </c>
    </row>
  </sheetData>
  <mergeCells count="2">
    <mergeCell ref="G3:K3"/>
    <mergeCell ref="E5:E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Cezar</dc:creator>
  <cp:keywords/>
  <dc:description/>
  <cp:lastModifiedBy>Moacyr Silva</cp:lastModifiedBy>
  <cp:revision/>
  <dcterms:created xsi:type="dcterms:W3CDTF">2018-05-12T02:25:48Z</dcterms:created>
  <dcterms:modified xsi:type="dcterms:W3CDTF">2018-07-05T12:03:35Z</dcterms:modified>
  <cp:category/>
  <cp:contentStatus/>
</cp:coreProperties>
</file>