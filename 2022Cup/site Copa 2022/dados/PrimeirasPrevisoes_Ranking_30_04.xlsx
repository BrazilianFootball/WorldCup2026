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acyr.silva\Documents\Copa2018\PrevisoesCopa2018\"/>
    </mc:Choice>
  </mc:AlternateContent>
  <bookViews>
    <workbookView xWindow="0" yWindow="0" windowWidth="18210" windowHeight="12045" activeTab="1"/>
  </bookViews>
  <sheets>
    <sheet name="Probabilidades_grafico" sheetId="4" r:id="rId1"/>
    <sheet name="Ranking" sheetId="2" r:id="rId2"/>
    <sheet name="PrevConfrontos" sheetId="5" r:id="rId3"/>
  </sheets>
  <calcPr calcId="162913"/>
</workbook>
</file>

<file path=xl/calcChain.xml><?xml version="1.0" encoding="utf-8"?>
<calcChain xmlns="http://schemas.openxmlformats.org/spreadsheetml/2006/main">
  <c r="G3" i="5" l="1"/>
  <c r="E5" i="5"/>
  <c r="B2" i="5"/>
  <c r="C2" i="5"/>
  <c r="C1" i="5"/>
  <c r="B1" i="5"/>
  <c r="G6" i="5" l="1"/>
  <c r="J5" i="5"/>
  <c r="J9" i="5"/>
  <c r="K8" i="5"/>
  <c r="G8" i="5"/>
  <c r="H7" i="5"/>
  <c r="I6" i="5"/>
  <c r="K9" i="5"/>
  <c r="H8" i="5"/>
  <c r="J6" i="5"/>
  <c r="I5" i="5"/>
  <c r="I9" i="5"/>
  <c r="J8" i="5"/>
  <c r="K7" i="5"/>
  <c r="G7" i="5"/>
  <c r="H6" i="5"/>
  <c r="K5" i="5"/>
  <c r="G9" i="5"/>
  <c r="I7" i="5"/>
  <c r="G5" i="5"/>
  <c r="H5" i="5"/>
  <c r="H9" i="5"/>
  <c r="I8" i="5"/>
  <c r="J7" i="5"/>
  <c r="K6" i="5"/>
  <c r="L4" i="5" l="1"/>
  <c r="F10" i="5"/>
  <c r="L10" i="5" s="1"/>
  <c r="G33" i="2"/>
  <c r="F33" i="2"/>
  <c r="B33" i="2"/>
  <c r="E33" i="2" s="1"/>
  <c r="G32" i="2"/>
  <c r="F32" i="2"/>
  <c r="B32" i="2"/>
  <c r="E32" i="2" s="1"/>
  <c r="G31" i="2"/>
  <c r="F31" i="2"/>
  <c r="B31" i="2"/>
  <c r="E31" i="2" s="1"/>
  <c r="G30" i="2"/>
  <c r="F30" i="2"/>
  <c r="B30" i="2"/>
  <c r="E30" i="2" s="1"/>
  <c r="G29" i="2"/>
  <c r="F29" i="2"/>
  <c r="B29" i="2"/>
  <c r="E29" i="2" s="1"/>
  <c r="G28" i="2"/>
  <c r="F28" i="2"/>
  <c r="B28" i="2"/>
  <c r="E28" i="2" s="1"/>
  <c r="G27" i="2"/>
  <c r="F27" i="2"/>
  <c r="B27" i="2"/>
  <c r="E27" i="2" s="1"/>
  <c r="G26" i="2"/>
  <c r="F26" i="2"/>
  <c r="B26" i="2"/>
  <c r="E26" i="2" s="1"/>
  <c r="G25" i="2"/>
  <c r="F25" i="2"/>
  <c r="B25" i="2"/>
  <c r="E25" i="2" s="1"/>
  <c r="G24" i="2"/>
  <c r="F24" i="2"/>
  <c r="B24" i="2"/>
  <c r="E24" i="2" s="1"/>
  <c r="G23" i="2"/>
  <c r="F23" i="2"/>
  <c r="B23" i="2"/>
  <c r="E23" i="2" s="1"/>
  <c r="G22" i="2"/>
  <c r="F22" i="2"/>
  <c r="B22" i="2"/>
  <c r="E22" i="2" s="1"/>
  <c r="G21" i="2"/>
  <c r="F21" i="2"/>
  <c r="B21" i="2"/>
  <c r="E21" i="2" s="1"/>
  <c r="G20" i="2"/>
  <c r="F20" i="2"/>
  <c r="B20" i="2"/>
  <c r="E20" i="2" s="1"/>
  <c r="G19" i="2"/>
  <c r="F19" i="2"/>
  <c r="B19" i="2"/>
  <c r="E19" i="2" s="1"/>
  <c r="G18" i="2"/>
  <c r="F18" i="2"/>
  <c r="B18" i="2"/>
  <c r="E18" i="2" s="1"/>
  <c r="G17" i="2"/>
  <c r="F17" i="2"/>
  <c r="B17" i="2"/>
  <c r="E17" i="2" s="1"/>
  <c r="G16" i="2"/>
  <c r="F16" i="2"/>
  <c r="B16" i="2"/>
  <c r="E16" i="2" s="1"/>
  <c r="G15" i="2"/>
  <c r="F15" i="2"/>
  <c r="B15" i="2"/>
  <c r="E15" i="2" s="1"/>
  <c r="G14" i="2"/>
  <c r="F14" i="2"/>
  <c r="B14" i="2"/>
  <c r="E14" i="2" s="1"/>
  <c r="G13" i="2"/>
  <c r="F13" i="2"/>
  <c r="B13" i="2"/>
  <c r="E13" i="2" s="1"/>
  <c r="G12" i="2"/>
  <c r="F12" i="2"/>
  <c r="B12" i="2"/>
  <c r="E12" i="2" s="1"/>
  <c r="G11" i="2"/>
  <c r="F11" i="2"/>
  <c r="B11" i="2"/>
  <c r="E11" i="2" s="1"/>
  <c r="G10" i="2"/>
  <c r="F10" i="2"/>
  <c r="B10" i="2"/>
  <c r="E10" i="2" s="1"/>
  <c r="G9" i="2"/>
  <c r="F9" i="2"/>
  <c r="B9" i="2"/>
  <c r="E9" i="2" s="1"/>
  <c r="G8" i="2"/>
  <c r="F8" i="2"/>
  <c r="B8" i="2"/>
  <c r="E8" i="2" s="1"/>
  <c r="G7" i="2"/>
  <c r="F7" i="2"/>
  <c r="B7" i="2"/>
  <c r="E7" i="2" s="1"/>
  <c r="G6" i="2"/>
  <c r="F6" i="2"/>
  <c r="B6" i="2"/>
  <c r="E6" i="2" s="1"/>
  <c r="G5" i="2"/>
  <c r="F5" i="2"/>
  <c r="B5" i="2"/>
  <c r="E5" i="2" s="1"/>
  <c r="G4" i="2"/>
  <c r="F4" i="2"/>
  <c r="B4" i="2"/>
  <c r="E4" i="2" s="1"/>
  <c r="G3" i="2"/>
  <c r="F3" i="2"/>
  <c r="B3" i="2"/>
  <c r="E3" i="2" s="1"/>
  <c r="G2" i="2"/>
  <c r="F2" i="2"/>
  <c r="B2" i="2"/>
  <c r="E2" i="2" s="1"/>
</calcChain>
</file>

<file path=xl/sharedStrings.xml><?xml version="1.0" encoding="utf-8"?>
<sst xmlns="http://schemas.openxmlformats.org/spreadsheetml/2006/main" count="85" uniqueCount="49">
  <si>
    <t>Russia</t>
  </si>
  <si>
    <t>Saudi Arabia</t>
  </si>
  <si>
    <t>Egypt</t>
  </si>
  <si>
    <t>Uruguay</t>
  </si>
  <si>
    <t>Portugal</t>
  </si>
  <si>
    <t>Spain</t>
  </si>
  <si>
    <t>Morocco</t>
  </si>
  <si>
    <t>Iran</t>
  </si>
  <si>
    <t>France</t>
  </si>
  <si>
    <t>Australia</t>
  </si>
  <si>
    <t>Peru</t>
  </si>
  <si>
    <t>Denmark</t>
  </si>
  <si>
    <t>Argentina</t>
  </si>
  <si>
    <t>Iceland</t>
  </si>
  <si>
    <t>Croatia</t>
  </si>
  <si>
    <t>Nigeria</t>
  </si>
  <si>
    <t>Brazil</t>
  </si>
  <si>
    <t>Suisse</t>
  </si>
  <si>
    <t>Costa Rica</t>
  </si>
  <si>
    <t>Serbia</t>
  </si>
  <si>
    <t>Germany</t>
  </si>
  <si>
    <t>Mexico</t>
  </si>
  <si>
    <t>Sweden</t>
  </si>
  <si>
    <t>South Korea</t>
  </si>
  <si>
    <t>Belgium</t>
  </si>
  <si>
    <t>Panama</t>
  </si>
  <si>
    <t>Tunisia</t>
  </si>
  <si>
    <t>England</t>
  </si>
  <si>
    <t>Poland</t>
  </si>
  <si>
    <t>Senegal</t>
  </si>
  <si>
    <t>Colombia</t>
  </si>
  <si>
    <t>Japan</t>
  </si>
  <si>
    <t>1o. do grupo</t>
  </si>
  <si>
    <t>2o. do grupo</t>
  </si>
  <si>
    <t>chegar oitavas</t>
  </si>
  <si>
    <t>chegar quartas</t>
  </si>
  <si>
    <t>chegar semi</t>
  </si>
  <si>
    <t>Terceiro</t>
  </si>
  <si>
    <t>Vice</t>
  </si>
  <si>
    <t>Campeão</t>
  </si>
  <si>
    <t>Selecao</t>
  </si>
  <si>
    <t>Força (geral)</t>
  </si>
  <si>
    <t>ataque</t>
  </si>
  <si>
    <t>defesa</t>
  </si>
  <si>
    <t>Força geral</t>
  </si>
  <si>
    <t>As colunas em azul tem as mesmas informações que a coluna verde.</t>
  </si>
  <si>
    <t>A diferença é que na coluna verde usamos como medida padrão a força de ataque do Uruguai.</t>
  </si>
  <si>
    <t>Assim é mais fácil entender o significado destes números.  O ataque do Brasil é 1.351 vezes mais eficiente para fazer gols do que o do Uruguai.</t>
  </si>
  <si>
    <t>A defesa do Brasil é 1.279 vezes mais eficiente em evitar gols que o ataque do Uruguai para fazer.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</si>
</sst>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42" applyNumberFormat="1" applyFont="1"/>
    <xf numFmtId="0" fontId="0" fillId="33" borderId="10" xfId="0" applyFill="1" applyBorder="1"/>
    <xf numFmtId="165" fontId="0" fillId="33" borderId="10" xfId="0" applyNumberFormat="1" applyFill="1" applyBorder="1"/>
    <xf numFmtId="0" fontId="0" fillId="34" borderId="10" xfId="0" applyFill="1" applyBorder="1"/>
    <xf numFmtId="165" fontId="0" fillId="34" borderId="10" xfId="0" applyNumberFormat="1" applyFill="1" applyBorder="1"/>
    <xf numFmtId="0" fontId="0" fillId="0" borderId="0" xfId="0"/>
    <xf numFmtId="0" fontId="0" fillId="0" borderId="10" xfId="0" applyBorder="1"/>
    <xf numFmtId="0" fontId="0" fillId="0" borderId="0" xfId="0" applyBorder="1"/>
    <xf numFmtId="164" fontId="0" fillId="0" borderId="10" xfId="42" applyNumberFormat="1" applyFont="1" applyBorder="1"/>
    <xf numFmtId="164" fontId="0" fillId="0" borderId="0" xfId="0" applyNumberFormat="1"/>
    <xf numFmtId="164" fontId="1" fillId="0" borderId="10" xfId="42" applyNumberFormat="1" applyFont="1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 textRotation="90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Porcentagem" xfId="42" builtinId="5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Probabilidade de Ser Campeão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Probabilidades_grafico!$I$1</c:f>
              <c:strCache>
                <c:ptCount val="1"/>
                <c:pt idx="0">
                  <c:v>Campeão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Probabilidades_grafico!$A$2:$A$33</c:f>
              <c:strCache>
                <c:ptCount val="32"/>
                <c:pt idx="0">
                  <c:v>Brazil</c:v>
                </c:pt>
                <c:pt idx="1">
                  <c:v>Spain</c:v>
                </c:pt>
                <c:pt idx="2">
                  <c:v>Germany</c:v>
                </c:pt>
                <c:pt idx="3">
                  <c:v>France</c:v>
                </c:pt>
                <c:pt idx="4">
                  <c:v>Argentina</c:v>
                </c:pt>
                <c:pt idx="5">
                  <c:v>Portugal</c:v>
                </c:pt>
                <c:pt idx="6">
                  <c:v>England</c:v>
                </c:pt>
                <c:pt idx="7">
                  <c:v>Belgium</c:v>
                </c:pt>
                <c:pt idx="8">
                  <c:v>Sweden</c:v>
                </c:pt>
                <c:pt idx="9">
                  <c:v>Croatia</c:v>
                </c:pt>
                <c:pt idx="10">
                  <c:v>Poland</c:v>
                </c:pt>
                <c:pt idx="11">
                  <c:v>Colombia</c:v>
                </c:pt>
                <c:pt idx="12">
                  <c:v>Denmark</c:v>
                </c:pt>
                <c:pt idx="13">
                  <c:v>Morocco</c:v>
                </c:pt>
                <c:pt idx="14">
                  <c:v>Uruguay</c:v>
                </c:pt>
                <c:pt idx="15">
                  <c:v>Iran</c:v>
                </c:pt>
                <c:pt idx="16">
                  <c:v>Peru</c:v>
                </c:pt>
                <c:pt idx="17">
                  <c:v>Suisse</c:v>
                </c:pt>
                <c:pt idx="18">
                  <c:v>Iceland</c:v>
                </c:pt>
                <c:pt idx="19">
                  <c:v>Russia</c:v>
                </c:pt>
                <c:pt idx="20">
                  <c:v>Serbia</c:v>
                </c:pt>
                <c:pt idx="21">
                  <c:v>Mexico</c:v>
                </c:pt>
                <c:pt idx="22">
                  <c:v>Egypt</c:v>
                </c:pt>
                <c:pt idx="23">
                  <c:v>Senegal</c:v>
                </c:pt>
                <c:pt idx="24">
                  <c:v>Japan</c:v>
                </c:pt>
                <c:pt idx="25">
                  <c:v>Costa Rica</c:v>
                </c:pt>
                <c:pt idx="26">
                  <c:v>Tunisia</c:v>
                </c:pt>
                <c:pt idx="27">
                  <c:v>Nigeria</c:v>
                </c:pt>
                <c:pt idx="28">
                  <c:v>Australia</c:v>
                </c:pt>
                <c:pt idx="29">
                  <c:v>South Korea</c:v>
                </c:pt>
                <c:pt idx="30">
                  <c:v>Panama</c:v>
                </c:pt>
                <c:pt idx="31">
                  <c:v>Saudi Arabia</c:v>
                </c:pt>
              </c:strCache>
            </c:strRef>
          </c:cat>
          <c:val>
            <c:numRef>
              <c:f>Probabilidades_grafico!$I$2:$I$33</c:f>
              <c:numCache>
                <c:formatCode>0.0%</c:formatCode>
                <c:ptCount val="32"/>
                <c:pt idx="0">
                  <c:v>0.21336000000007199</c:v>
                </c:pt>
                <c:pt idx="1">
                  <c:v>0.13504999999999401</c:v>
                </c:pt>
                <c:pt idx="2">
                  <c:v>0.114139999999988</c:v>
                </c:pt>
                <c:pt idx="3">
                  <c:v>9.4599999999996007E-2</c:v>
                </c:pt>
                <c:pt idx="4">
                  <c:v>8.49299999999997E-2</c:v>
                </c:pt>
                <c:pt idx="5">
                  <c:v>5.0320000000004701E-2</c:v>
                </c:pt>
                <c:pt idx="6">
                  <c:v>4.8130000000004003E-2</c:v>
                </c:pt>
                <c:pt idx="7">
                  <c:v>4.2970000000002402E-2</c:v>
                </c:pt>
                <c:pt idx="8">
                  <c:v>3.7620000000000799E-2</c:v>
                </c:pt>
                <c:pt idx="9">
                  <c:v>2.8809999999998899E-2</c:v>
                </c:pt>
                <c:pt idx="10">
                  <c:v>2.7839999999999001E-2</c:v>
                </c:pt>
                <c:pt idx="11">
                  <c:v>2.1519999999999199E-2</c:v>
                </c:pt>
                <c:pt idx="12">
                  <c:v>1.9669999999999299E-2</c:v>
                </c:pt>
                <c:pt idx="13">
                  <c:v>1.38299999999996E-2</c:v>
                </c:pt>
                <c:pt idx="14">
                  <c:v>1.38099999999996E-2</c:v>
                </c:pt>
                <c:pt idx="15">
                  <c:v>1.2989999999999601E-2</c:v>
                </c:pt>
                <c:pt idx="16">
                  <c:v>1.02499999999997E-2</c:v>
                </c:pt>
                <c:pt idx="17">
                  <c:v>8.0099999999998402E-3</c:v>
                </c:pt>
                <c:pt idx="18">
                  <c:v>5.5499999999999404E-3</c:v>
                </c:pt>
                <c:pt idx="19">
                  <c:v>4.5299999999999802E-3</c:v>
                </c:pt>
                <c:pt idx="20">
                  <c:v>3.3899999999999998E-3</c:v>
                </c:pt>
                <c:pt idx="21">
                  <c:v>2.0500000000000002E-3</c:v>
                </c:pt>
                <c:pt idx="22">
                  <c:v>1.82E-3</c:v>
                </c:pt>
                <c:pt idx="23">
                  <c:v>1.57E-3</c:v>
                </c:pt>
                <c:pt idx="24">
                  <c:v>1.3500000000000001E-3</c:v>
                </c:pt>
                <c:pt idx="25">
                  <c:v>5.6999999999999998E-4</c:v>
                </c:pt>
                <c:pt idx="26">
                  <c:v>3.6000000000000002E-4</c:v>
                </c:pt>
                <c:pt idx="27">
                  <c:v>2.7999999999999998E-4</c:v>
                </c:pt>
                <c:pt idx="28">
                  <c:v>2.7999999999999998E-4</c:v>
                </c:pt>
                <c:pt idx="29">
                  <c:v>2.5000000000000001E-4</c:v>
                </c:pt>
                <c:pt idx="30">
                  <c:v>9.0000000000000006E-5</c:v>
                </c:pt>
                <c:pt idx="31">
                  <c:v>6.0000000000000002E-5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9-42D1-9137-642EC26A0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overlap val="-27"/>
        <c:axId val="352251632"/>
        <c:axId val="361644864"/>
      </c:barChart>
      <c:catAx>
        <c:axId val="35225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1644864"/>
        <c:crosses val="autoZero"/>
        <c:auto val="1"/>
        <c:lblAlgn val="ctr"/>
        <c:lblOffset val="100"/>
        <c:noMultiLvlLbl val="0"/>
      </c:catAx>
      <c:valAx>
        <c:axId val="36164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225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Ranking!$B$1</c:f>
              <c:strCache>
                <c:ptCount val="1"/>
                <c:pt idx="0">
                  <c:v>Força (geral)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Ranking!$A$2:$A$33</c:f>
              <c:strCache>
                <c:ptCount val="32"/>
                <c:pt idx="0">
                  <c:v>Brazil</c:v>
                </c:pt>
                <c:pt idx="1">
                  <c:v>Spain</c:v>
                </c:pt>
                <c:pt idx="2">
                  <c:v>France</c:v>
                </c:pt>
                <c:pt idx="3">
                  <c:v>Germany</c:v>
                </c:pt>
                <c:pt idx="4">
                  <c:v>Argentina</c:v>
                </c:pt>
                <c:pt idx="5">
                  <c:v>Portugal</c:v>
                </c:pt>
                <c:pt idx="6">
                  <c:v>England</c:v>
                </c:pt>
                <c:pt idx="7">
                  <c:v>Sweden</c:v>
                </c:pt>
                <c:pt idx="8">
                  <c:v>Belgium</c:v>
                </c:pt>
                <c:pt idx="9">
                  <c:v>Croatia</c:v>
                </c:pt>
                <c:pt idx="10">
                  <c:v>Poland</c:v>
                </c:pt>
                <c:pt idx="11">
                  <c:v>Colombia</c:v>
                </c:pt>
                <c:pt idx="12">
                  <c:v>Denmark</c:v>
                </c:pt>
                <c:pt idx="13">
                  <c:v>Morocco</c:v>
                </c:pt>
                <c:pt idx="14">
                  <c:v>Iran</c:v>
                </c:pt>
                <c:pt idx="15">
                  <c:v>Uruguay</c:v>
                </c:pt>
                <c:pt idx="16">
                  <c:v>Peru</c:v>
                </c:pt>
                <c:pt idx="17">
                  <c:v>Suisse</c:v>
                </c:pt>
                <c:pt idx="18">
                  <c:v>Iceland</c:v>
                </c:pt>
                <c:pt idx="19">
                  <c:v>Serbia</c:v>
                </c:pt>
                <c:pt idx="20">
                  <c:v>Russia</c:v>
                </c:pt>
                <c:pt idx="21">
                  <c:v>Mexico</c:v>
                </c:pt>
                <c:pt idx="22">
                  <c:v>Senegal</c:v>
                </c:pt>
                <c:pt idx="23">
                  <c:v>Japan</c:v>
                </c:pt>
                <c:pt idx="24">
                  <c:v>Egypt</c:v>
                </c:pt>
                <c:pt idx="25">
                  <c:v>Costa Rica</c:v>
                </c:pt>
                <c:pt idx="26">
                  <c:v>Australia</c:v>
                </c:pt>
                <c:pt idx="27">
                  <c:v>Nigeria</c:v>
                </c:pt>
                <c:pt idx="28">
                  <c:v>South Korea</c:v>
                </c:pt>
                <c:pt idx="29">
                  <c:v>Tunisia</c:v>
                </c:pt>
                <c:pt idx="30">
                  <c:v>Panama</c:v>
                </c:pt>
                <c:pt idx="31">
                  <c:v>Saudi Arabia</c:v>
                </c:pt>
              </c:strCache>
            </c:strRef>
          </c:cat>
          <c:val>
            <c:numRef>
              <c:f>Ranking!$B$2:$B$33</c:f>
              <c:numCache>
                <c:formatCode>0.000</c:formatCode>
                <c:ptCount val="32"/>
                <c:pt idx="0">
                  <c:v>3.3700746727937885</c:v>
                </c:pt>
                <c:pt idx="1">
                  <c:v>3.0886342602500925</c:v>
                </c:pt>
                <c:pt idx="2">
                  <c:v>2.9111116906335699</c:v>
                </c:pt>
                <c:pt idx="3">
                  <c:v>2.9032659585458918</c:v>
                </c:pt>
                <c:pt idx="4">
                  <c:v>2.8529460886495639</c:v>
                </c:pt>
                <c:pt idx="5">
                  <c:v>2.630650298742772</c:v>
                </c:pt>
                <c:pt idx="6">
                  <c:v>2.4977588298314215</c:v>
                </c:pt>
                <c:pt idx="7">
                  <c:v>2.4499787217419282</c:v>
                </c:pt>
                <c:pt idx="8">
                  <c:v>2.4438938085327471</c:v>
                </c:pt>
                <c:pt idx="9">
                  <c:v>2.3904330970560785</c:v>
                </c:pt>
                <c:pt idx="10">
                  <c:v>2.3449479382390446</c:v>
                </c:pt>
                <c:pt idx="11">
                  <c:v>2.2744830999775574</c:v>
                </c:pt>
                <c:pt idx="12">
                  <c:v>2.2642501461808764</c:v>
                </c:pt>
                <c:pt idx="13">
                  <c:v>2.2210929083467068</c:v>
                </c:pt>
                <c:pt idx="14">
                  <c:v>2.1707747214892117</c:v>
                </c:pt>
                <c:pt idx="15">
                  <c:v>2.1279419285922732</c:v>
                </c:pt>
                <c:pt idx="16">
                  <c:v>2.0983090318857065</c:v>
                </c:pt>
                <c:pt idx="17">
                  <c:v>2.021526239274603</c:v>
                </c:pt>
                <c:pt idx="18">
                  <c:v>1.9740017761919073</c:v>
                </c:pt>
                <c:pt idx="19">
                  <c:v>1.8780092802578654</c:v>
                </c:pt>
                <c:pt idx="20">
                  <c:v>1.8679482599479349</c:v>
                </c:pt>
                <c:pt idx="21">
                  <c:v>1.8198192177266768</c:v>
                </c:pt>
                <c:pt idx="22">
                  <c:v>1.713801863744258</c:v>
                </c:pt>
                <c:pt idx="23">
                  <c:v>1.7119240780803719</c:v>
                </c:pt>
                <c:pt idx="24">
                  <c:v>1.6443163362789708</c:v>
                </c:pt>
                <c:pt idx="25">
                  <c:v>1.5466352994157713</c:v>
                </c:pt>
                <c:pt idx="26">
                  <c:v>1.5399122462921015</c:v>
                </c:pt>
                <c:pt idx="27">
                  <c:v>1.5093286702784894</c:v>
                </c:pt>
                <c:pt idx="28">
                  <c:v>1.4978121909086242</c:v>
                </c:pt>
                <c:pt idx="29">
                  <c:v>1.4939074825520471</c:v>
                </c:pt>
                <c:pt idx="30">
                  <c:v>1.3130286975351819</c:v>
                </c:pt>
                <c:pt idx="31">
                  <c:v>1.2967387904690848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8-4A48-8A13-AC9256A6F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-27"/>
        <c:axId val="359583296"/>
        <c:axId val="359583856"/>
      </c:barChart>
      <c:catAx>
        <c:axId val="35958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9583856"/>
        <c:crosses val="autoZero"/>
        <c:auto val="1"/>
        <c:lblAlgn val="ctr"/>
        <c:lblOffset val="100"/>
        <c:noMultiLvlLbl val="0"/>
      </c:catAx>
      <c:valAx>
        <c:axId val="35958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958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1</xdr:row>
      <xdr:rowOff>152400</xdr:rowOff>
    </xdr:from>
    <xdr:to>
      <xdr:col>22</xdr:col>
      <xdr:colOff>581024</xdr:colOff>
      <xdr:row>28</xdr:row>
      <xdr:rowOff>104775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5</xdr:row>
      <xdr:rowOff>180975</xdr:rowOff>
    </xdr:from>
    <xdr:to>
      <xdr:col>19</xdr:col>
      <xdr:colOff>495299</xdr:colOff>
      <xdr:row>32</xdr:row>
      <xdr:rowOff>133350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B10" sqref="B10"/>
    </sheetView>
  </sheetViews>
  <sheetFormatPr defaultRowHeight="15" x14ac:dyDescent="0.25"/>
  <cols>
    <col min="1" max="1" width="9.140625" style="6"/>
    <col min="2" max="3" width="12" style="6" bestFit="1" customWidth="1"/>
    <col min="4" max="4" width="13.7109375" style="6" bestFit="1" customWidth="1"/>
    <col min="5" max="5" width="14" style="6" bestFit="1" customWidth="1"/>
    <col min="6" max="6" width="11.5703125" style="6" bestFit="1" customWidth="1"/>
    <col min="7" max="7" width="8.28515625" style="6" bestFit="1" customWidth="1"/>
    <col min="8" max="8" width="8" style="6" bestFit="1" customWidth="1"/>
    <col min="9" max="9" width="9.28515625" style="6" bestFit="1" customWidth="1"/>
    <col min="10" max="16384" width="9.140625" style="6"/>
  </cols>
  <sheetData>
    <row r="1" spans="1:9" x14ac:dyDescent="0.25"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</row>
    <row r="2" spans="1:9" x14ac:dyDescent="0.25">
      <c r="A2" s="6" t="s">
        <v>16</v>
      </c>
      <c r="B2" s="1">
        <v>0.76517999999915198</v>
      </c>
      <c r="C2" s="1">
        <v>0.16969000000002801</v>
      </c>
      <c r="D2" s="1">
        <v>0.93486999999838005</v>
      </c>
      <c r="E2" s="1">
        <v>0.66773999999959499</v>
      </c>
      <c r="F2" s="1">
        <v>0.49202000000035101</v>
      </c>
      <c r="G2" s="1">
        <v>0.115239999999988</v>
      </c>
      <c r="H2" s="1">
        <v>0.113109999999988</v>
      </c>
      <c r="I2" s="1">
        <v>0.21336000000007199</v>
      </c>
    </row>
    <row r="3" spans="1:9" x14ac:dyDescent="0.25">
      <c r="A3" s="6" t="s">
        <v>5</v>
      </c>
      <c r="B3" s="1">
        <v>0.47747000000033601</v>
      </c>
      <c r="C3" s="1">
        <v>0.26153000000012</v>
      </c>
      <c r="D3" s="1">
        <v>0.73899999999927102</v>
      </c>
      <c r="E3" s="1">
        <v>0.59470999999992802</v>
      </c>
      <c r="F3" s="1">
        <v>0.374520000000233</v>
      </c>
      <c r="G3" s="1">
        <v>9.2219999999996902E-2</v>
      </c>
      <c r="H3" s="1">
        <v>9.5519999999995595E-2</v>
      </c>
      <c r="I3" s="1">
        <v>0.13504999999999401</v>
      </c>
    </row>
    <row r="4" spans="1:9" x14ac:dyDescent="0.25">
      <c r="A4" s="6" t="s">
        <v>20</v>
      </c>
      <c r="B4" s="1">
        <v>0.58229999999998405</v>
      </c>
      <c r="C4" s="1">
        <v>0.28089000000014003</v>
      </c>
      <c r="D4" s="1">
        <v>0.86318999999870605</v>
      </c>
      <c r="E4" s="1">
        <v>0.55555000000010601</v>
      </c>
      <c r="F4" s="1">
        <v>0.36859000000022701</v>
      </c>
      <c r="G4" s="1">
        <v>9.3529999999996394E-2</v>
      </c>
      <c r="H4" s="1">
        <v>9.74899999999949E-2</v>
      </c>
      <c r="I4" s="1">
        <v>0.114139999999988</v>
      </c>
    </row>
    <row r="5" spans="1:9" x14ac:dyDescent="0.25">
      <c r="A5" s="6" t="s">
        <v>8</v>
      </c>
      <c r="B5" s="1">
        <v>0.54930000000013401</v>
      </c>
      <c r="C5" s="1">
        <v>0.26856000000012697</v>
      </c>
      <c r="D5" s="1">
        <v>0.81785999999891201</v>
      </c>
      <c r="E5" s="1">
        <v>0.50905000000031797</v>
      </c>
      <c r="F5" s="1">
        <v>0.30991000000016899</v>
      </c>
      <c r="G5" s="1">
        <v>8.3840000000000095E-2</v>
      </c>
      <c r="H5" s="1">
        <v>7.6960000000002804E-2</v>
      </c>
      <c r="I5" s="1">
        <v>9.4599999999996007E-2</v>
      </c>
    </row>
    <row r="6" spans="1:9" x14ac:dyDescent="0.25">
      <c r="A6" s="6" t="s">
        <v>12</v>
      </c>
      <c r="B6" s="1">
        <v>0.51832000000027501</v>
      </c>
      <c r="C6" s="1">
        <v>0.28306000000014198</v>
      </c>
      <c r="D6" s="1">
        <v>0.80137999999898701</v>
      </c>
      <c r="E6" s="1">
        <v>0.48832000000034698</v>
      </c>
      <c r="F6" s="1">
        <v>0.28651000000014498</v>
      </c>
      <c r="G6" s="1">
        <v>7.3520000000004193E-2</v>
      </c>
      <c r="H6" s="1">
        <v>7.5310000000003499E-2</v>
      </c>
      <c r="I6" s="1">
        <v>8.49299999999997E-2</v>
      </c>
    </row>
    <row r="7" spans="1:9" x14ac:dyDescent="0.25">
      <c r="A7" s="6" t="s">
        <v>4</v>
      </c>
      <c r="B7" s="1">
        <v>0.26210000000012101</v>
      </c>
      <c r="C7" s="1">
        <v>0.29373000000015298</v>
      </c>
      <c r="D7" s="1">
        <v>0.55583000000010496</v>
      </c>
      <c r="E7" s="1">
        <v>0.39026000000024902</v>
      </c>
      <c r="F7" s="1">
        <v>0.20754000000006601</v>
      </c>
      <c r="G7" s="1">
        <v>5.4300000000005899E-2</v>
      </c>
      <c r="H7" s="1">
        <v>5.39300000000058E-2</v>
      </c>
      <c r="I7" s="1">
        <v>5.0320000000004701E-2</v>
      </c>
    </row>
    <row r="8" spans="1:9" x14ac:dyDescent="0.25">
      <c r="A8" s="6" t="s">
        <v>27</v>
      </c>
      <c r="B8" s="1">
        <v>0.40742000000026601</v>
      </c>
      <c r="C8" s="1">
        <v>0.39577000000025497</v>
      </c>
      <c r="D8" s="1">
        <v>0.803189999998979</v>
      </c>
      <c r="E8" s="1">
        <v>0.479570000000338</v>
      </c>
      <c r="F8" s="1">
        <v>0.21757000000007601</v>
      </c>
      <c r="G8" s="1">
        <v>5.58900000000064E-2</v>
      </c>
      <c r="H8" s="1">
        <v>5.7090000000006802E-2</v>
      </c>
      <c r="I8" s="1">
        <v>4.8130000000004003E-2</v>
      </c>
    </row>
    <row r="9" spans="1:9" x14ac:dyDescent="0.25">
      <c r="A9" s="6" t="s">
        <v>24</v>
      </c>
      <c r="B9" s="1">
        <v>0.506650000000329</v>
      </c>
      <c r="C9" s="1">
        <v>0.33942000000019801</v>
      </c>
      <c r="D9" s="1">
        <v>0.84606999999878396</v>
      </c>
      <c r="E9" s="1">
        <v>0.51498000000029098</v>
      </c>
      <c r="F9" s="1">
        <v>0.216950000000076</v>
      </c>
      <c r="G9" s="1">
        <v>5.71500000000068E-2</v>
      </c>
      <c r="H9" s="1">
        <v>5.8500000000007199E-2</v>
      </c>
      <c r="I9" s="1">
        <v>4.2970000000002402E-2</v>
      </c>
    </row>
    <row r="10" spans="1:9" x14ac:dyDescent="0.25">
      <c r="A10" s="6" t="s">
        <v>22</v>
      </c>
      <c r="B10" s="1">
        <v>0.306690000000165</v>
      </c>
      <c r="C10" s="1">
        <v>0.40078000000025998</v>
      </c>
      <c r="D10" s="1">
        <v>0.70746999999941496</v>
      </c>
      <c r="E10" s="1">
        <v>0.33901000000019799</v>
      </c>
      <c r="F10" s="1">
        <v>0.186290000000045</v>
      </c>
      <c r="G10" s="1">
        <v>4.6120000000003401E-2</v>
      </c>
      <c r="H10" s="1">
        <v>4.9940000000004599E-2</v>
      </c>
      <c r="I10" s="1">
        <v>3.7620000000000799E-2</v>
      </c>
    </row>
    <row r="11" spans="1:9" x14ac:dyDescent="0.25">
      <c r="A11" s="6" t="s">
        <v>14</v>
      </c>
      <c r="B11" s="1">
        <v>0.28937000000014801</v>
      </c>
      <c r="C11" s="1">
        <v>0.34567000000020398</v>
      </c>
      <c r="D11" s="1">
        <v>0.63503999999974403</v>
      </c>
      <c r="E11" s="1">
        <v>0.31315000000017201</v>
      </c>
      <c r="F11" s="1">
        <v>0.15339000000001199</v>
      </c>
      <c r="G11" s="1">
        <v>3.9970000000001497E-2</v>
      </c>
      <c r="H11" s="1">
        <v>3.9440000000001398E-2</v>
      </c>
      <c r="I11" s="1">
        <v>2.8809999999998899E-2</v>
      </c>
    </row>
    <row r="12" spans="1:9" x14ac:dyDescent="0.25">
      <c r="A12" s="6" t="s">
        <v>28</v>
      </c>
      <c r="B12" s="1">
        <v>0.44700000000030599</v>
      </c>
      <c r="C12" s="1">
        <v>0.287750000000147</v>
      </c>
      <c r="D12" s="1">
        <v>0.73474999999929003</v>
      </c>
      <c r="E12" s="1">
        <v>0.38867000000024698</v>
      </c>
      <c r="F12" s="1">
        <v>0.16255000000002101</v>
      </c>
      <c r="G12" s="1">
        <v>4.1270000000001902E-2</v>
      </c>
      <c r="H12" s="1">
        <v>4.2910000000002398E-2</v>
      </c>
      <c r="I12" s="1">
        <v>2.7839999999999001E-2</v>
      </c>
    </row>
    <row r="13" spans="1:9" x14ac:dyDescent="0.25">
      <c r="A13" s="6" t="s">
        <v>30</v>
      </c>
      <c r="B13" s="1">
        <v>0.34448000000020301</v>
      </c>
      <c r="C13" s="1">
        <v>0.32022000000017897</v>
      </c>
      <c r="D13" s="1">
        <v>0.66469999999960905</v>
      </c>
      <c r="E13" s="1">
        <v>0.33309000000019201</v>
      </c>
      <c r="F13" s="1">
        <v>0.13266999999999099</v>
      </c>
      <c r="G13" s="1">
        <v>3.3449999999999501E-2</v>
      </c>
      <c r="H13" s="1">
        <v>3.5440000000000103E-2</v>
      </c>
      <c r="I13" s="1">
        <v>2.1519999999999199E-2</v>
      </c>
    </row>
    <row r="14" spans="1:9" x14ac:dyDescent="0.25">
      <c r="A14" s="6" t="s">
        <v>11</v>
      </c>
      <c r="B14" s="1">
        <v>0.23488000000009401</v>
      </c>
      <c r="C14" s="1">
        <v>0.332300000000191</v>
      </c>
      <c r="D14" s="1">
        <v>0.56718000000005298</v>
      </c>
      <c r="E14" s="1">
        <v>0.26711000000012602</v>
      </c>
      <c r="F14" s="1">
        <v>0.12282999999998501</v>
      </c>
      <c r="G14" s="1">
        <v>3.11699999999989E-2</v>
      </c>
      <c r="H14" s="1">
        <v>3.10099999999989E-2</v>
      </c>
      <c r="I14" s="1">
        <v>1.9669999999999299E-2</v>
      </c>
    </row>
    <row r="15" spans="1:9" x14ac:dyDescent="0.25">
      <c r="A15" s="6" t="s">
        <v>6</v>
      </c>
      <c r="B15" s="1">
        <v>0.13593999999999501</v>
      </c>
      <c r="C15" s="1">
        <v>0.223950000000083</v>
      </c>
      <c r="D15" s="1">
        <v>0.35989000000021898</v>
      </c>
      <c r="E15" s="1">
        <v>0.21507000000007401</v>
      </c>
      <c r="F15" s="1">
        <v>9.28899999999966E-2</v>
      </c>
      <c r="G15" s="1">
        <v>2.4339999999999098E-2</v>
      </c>
      <c r="H15" s="1">
        <v>2.32099999999992E-2</v>
      </c>
      <c r="I15" s="1">
        <v>1.38299999999996E-2</v>
      </c>
    </row>
    <row r="16" spans="1:9" x14ac:dyDescent="0.25">
      <c r="A16" s="6" t="s">
        <v>3</v>
      </c>
      <c r="B16" s="1">
        <v>0.48752000000034601</v>
      </c>
      <c r="C16" s="1">
        <v>0.28483000000014402</v>
      </c>
      <c r="D16" s="1">
        <v>0.77234999999911902</v>
      </c>
      <c r="E16" s="1">
        <v>0.28809000000014701</v>
      </c>
      <c r="F16" s="1">
        <v>0.113669999999988</v>
      </c>
      <c r="G16" s="1">
        <v>3.0129999999998901E-2</v>
      </c>
      <c r="H16" s="1">
        <v>2.6239999999999101E-2</v>
      </c>
      <c r="I16" s="1">
        <v>1.38099999999996E-2</v>
      </c>
    </row>
    <row r="17" spans="1:9" x14ac:dyDescent="0.25">
      <c r="A17" s="6" t="s">
        <v>7</v>
      </c>
      <c r="B17" s="1">
        <v>0.124489999999984</v>
      </c>
      <c r="C17" s="1">
        <v>0.22079000000008001</v>
      </c>
      <c r="D17" s="1">
        <v>0.34528000000020398</v>
      </c>
      <c r="E17" s="1">
        <v>0.19927000000005801</v>
      </c>
      <c r="F17" s="1">
        <v>8.65499999999991E-2</v>
      </c>
      <c r="G17" s="1">
        <v>2.2669999999999201E-2</v>
      </c>
      <c r="H17" s="1">
        <v>2.0609999999999299E-2</v>
      </c>
      <c r="I17" s="1">
        <v>1.2989999999999601E-2</v>
      </c>
    </row>
    <row r="18" spans="1:9" x14ac:dyDescent="0.25">
      <c r="A18" s="6" t="s">
        <v>10</v>
      </c>
      <c r="B18" s="1">
        <v>0.17424000000003301</v>
      </c>
      <c r="C18" s="1">
        <v>0.289080000000148</v>
      </c>
      <c r="D18" s="1">
        <v>0.46332000000032197</v>
      </c>
      <c r="E18" s="1">
        <v>0.196290000000055</v>
      </c>
      <c r="F18" s="1">
        <v>8.1400000000001096E-2</v>
      </c>
      <c r="G18" s="1">
        <v>2.0609999999999299E-2</v>
      </c>
      <c r="H18" s="1">
        <v>1.91499999999993E-2</v>
      </c>
      <c r="I18" s="1">
        <v>1.02499999999997E-2</v>
      </c>
    </row>
    <row r="19" spans="1:9" x14ac:dyDescent="0.25">
      <c r="A19" s="6" t="s">
        <v>17</v>
      </c>
      <c r="B19" s="1">
        <v>0.119419999999986</v>
      </c>
      <c r="C19" s="1">
        <v>0.37006000000022898</v>
      </c>
      <c r="D19" s="1">
        <v>0.48948000000034803</v>
      </c>
      <c r="E19" s="1">
        <v>0.172370000000031</v>
      </c>
      <c r="F19" s="1">
        <v>7.2120000000004694E-2</v>
      </c>
      <c r="G19" s="1">
        <v>1.70199999999994E-2</v>
      </c>
      <c r="H19" s="1">
        <v>1.7489999999999398E-2</v>
      </c>
      <c r="I19" s="1">
        <v>8.0099999999998402E-3</v>
      </c>
    </row>
    <row r="20" spans="1:9" x14ac:dyDescent="0.25">
      <c r="A20" s="6" t="s">
        <v>13</v>
      </c>
      <c r="B20" s="1">
        <v>0.14798000000000699</v>
      </c>
      <c r="C20" s="1">
        <v>0.25208000000011099</v>
      </c>
      <c r="D20" s="1">
        <v>0.40006000000025899</v>
      </c>
      <c r="E20" s="1">
        <v>0.15011000000000899</v>
      </c>
      <c r="F20" s="1">
        <v>5.7730000000006998E-2</v>
      </c>
      <c r="G20" s="1">
        <v>1.39799999999995E-2</v>
      </c>
      <c r="H20" s="1">
        <v>1.24499999999996E-2</v>
      </c>
      <c r="I20" s="1">
        <v>5.5499999999999404E-3</v>
      </c>
    </row>
    <row r="21" spans="1:9" x14ac:dyDescent="0.25">
      <c r="A21" s="6" t="s">
        <v>0</v>
      </c>
      <c r="B21" s="1">
        <v>0.29916000000015802</v>
      </c>
      <c r="C21" s="1">
        <v>0.32620000000018501</v>
      </c>
      <c r="D21" s="1">
        <v>0.62535999999978797</v>
      </c>
      <c r="E21" s="1">
        <v>0.18263000000004101</v>
      </c>
      <c r="F21" s="1">
        <v>5.9450000000007497E-2</v>
      </c>
      <c r="G21" s="1">
        <v>1.32999999999996E-2</v>
      </c>
      <c r="H21" s="1">
        <v>1.27899999999996E-2</v>
      </c>
      <c r="I21" s="1">
        <v>4.5299999999999802E-3</v>
      </c>
    </row>
    <row r="22" spans="1:9" x14ac:dyDescent="0.25">
      <c r="A22" s="6" t="s">
        <v>19</v>
      </c>
      <c r="B22" s="1">
        <v>8.3250000000000393E-2</v>
      </c>
      <c r="C22" s="1">
        <v>0.297530000000156</v>
      </c>
      <c r="D22" s="1">
        <v>0.38078000000023998</v>
      </c>
      <c r="E22" s="1">
        <v>0.11304999999998799</v>
      </c>
      <c r="F22" s="1">
        <v>4.2050000000002197E-2</v>
      </c>
      <c r="G22" s="1">
        <v>9.5099999999997808E-3</v>
      </c>
      <c r="H22" s="1">
        <v>9.1999999999997899E-3</v>
      </c>
      <c r="I22" s="1">
        <v>3.3899999999999998E-3</v>
      </c>
    </row>
    <row r="23" spans="1:9" x14ac:dyDescent="0.25">
      <c r="A23" s="6" t="s">
        <v>21</v>
      </c>
      <c r="B23" s="1">
        <v>8.2050000000000803E-2</v>
      </c>
      <c r="C23" s="1">
        <v>0.21106000000007</v>
      </c>
      <c r="D23" s="1">
        <v>0.29311000000015203</v>
      </c>
      <c r="E23" s="1">
        <v>8.2330000000000694E-2</v>
      </c>
      <c r="F23" s="1">
        <v>2.90399999999989E-2</v>
      </c>
      <c r="G23" s="1">
        <v>6.1099999999999098E-3</v>
      </c>
      <c r="H23" s="1">
        <v>6.67999999999989E-3</v>
      </c>
      <c r="I23" s="1">
        <v>2.0500000000000002E-3</v>
      </c>
    </row>
    <row r="24" spans="1:9" x14ac:dyDescent="0.25">
      <c r="A24" s="6" t="s">
        <v>2</v>
      </c>
      <c r="B24" s="1">
        <v>0.16266000000002101</v>
      </c>
      <c r="C24" s="1">
        <v>0.26988000000012902</v>
      </c>
      <c r="D24" s="1">
        <v>0.43254000000029103</v>
      </c>
      <c r="E24" s="1">
        <v>0.110169999999989</v>
      </c>
      <c r="F24" s="1">
        <v>3.1869999999999003E-2</v>
      </c>
      <c r="G24" s="1">
        <v>6.3699999999999E-3</v>
      </c>
      <c r="H24" s="1">
        <v>5.8499999999999299E-3</v>
      </c>
      <c r="I24" s="1">
        <v>1.82E-3</v>
      </c>
    </row>
    <row r="25" spans="1:9" x14ac:dyDescent="0.25">
      <c r="A25" s="6" t="s">
        <v>29</v>
      </c>
      <c r="B25" s="1">
        <v>0.105219999999991</v>
      </c>
      <c r="C25" s="1">
        <v>0.20028000000005899</v>
      </c>
      <c r="D25" s="1">
        <v>0.30550000000016397</v>
      </c>
      <c r="E25" s="1">
        <v>0.100969999999993</v>
      </c>
      <c r="F25" s="1">
        <v>2.42099999999991E-2</v>
      </c>
      <c r="G25" s="1">
        <v>4.7199999999999699E-3</v>
      </c>
      <c r="H25" s="1">
        <v>5.4899999999999402E-3</v>
      </c>
      <c r="I25" s="1">
        <v>1.57E-3</v>
      </c>
    </row>
    <row r="26" spans="1:9" x14ac:dyDescent="0.25">
      <c r="A26" s="6" t="s">
        <v>31</v>
      </c>
      <c r="B26" s="1">
        <v>0.103299999999992</v>
      </c>
      <c r="C26" s="1">
        <v>0.19175000000005099</v>
      </c>
      <c r="D26" s="1">
        <v>0.29505000000015402</v>
      </c>
      <c r="E26" s="1">
        <v>9.3019999999996605E-2</v>
      </c>
      <c r="F26" s="1">
        <v>2.09999999999993E-2</v>
      </c>
      <c r="G26" s="1">
        <v>3.96E-3</v>
      </c>
      <c r="H26" s="1">
        <v>4.42999999999998E-3</v>
      </c>
      <c r="I26" s="1">
        <v>1.3500000000000001E-3</v>
      </c>
    </row>
    <row r="27" spans="1:9" x14ac:dyDescent="0.25">
      <c r="A27" s="6" t="s">
        <v>18</v>
      </c>
      <c r="B27" s="1">
        <v>3.2149999999999103E-2</v>
      </c>
      <c r="C27" s="1">
        <v>0.16272000000002099</v>
      </c>
      <c r="D27" s="1">
        <v>0.194870000000054</v>
      </c>
      <c r="E27" s="1">
        <v>4.41100000000028E-2</v>
      </c>
      <c r="F27" s="1">
        <v>1.25499999999996E-2</v>
      </c>
      <c r="G27" s="1">
        <v>2.2300000000000002E-3</v>
      </c>
      <c r="H27" s="1">
        <v>2.63E-3</v>
      </c>
      <c r="I27" s="1">
        <v>5.6999999999999998E-4</v>
      </c>
    </row>
    <row r="28" spans="1:9" x14ac:dyDescent="0.25">
      <c r="A28" s="6" t="s">
        <v>26</v>
      </c>
      <c r="B28" s="1">
        <v>5.62400000000065E-2</v>
      </c>
      <c r="C28" s="1">
        <v>0.16205000000002101</v>
      </c>
      <c r="D28" s="1">
        <v>0.21829000000007701</v>
      </c>
      <c r="E28" s="1">
        <v>6.1310000000008101E-2</v>
      </c>
      <c r="F28" s="1">
        <v>1.17399999999996E-2</v>
      </c>
      <c r="G28" s="1">
        <v>1.9300000000000001E-3</v>
      </c>
      <c r="H28" s="1">
        <v>1.99E-3</v>
      </c>
      <c r="I28" s="1">
        <v>3.6000000000000002E-4</v>
      </c>
    </row>
    <row r="29" spans="1:9" x14ac:dyDescent="0.25">
      <c r="A29" s="6" t="s">
        <v>15</v>
      </c>
      <c r="B29" s="1">
        <v>4.4330000000002902E-2</v>
      </c>
      <c r="C29" s="1">
        <v>0.119189999999986</v>
      </c>
      <c r="D29" s="1">
        <v>0.16352000000002201</v>
      </c>
      <c r="E29" s="1">
        <v>4.0120000000001599E-2</v>
      </c>
      <c r="F29" s="1">
        <v>1.08199999999997E-2</v>
      </c>
      <c r="G29" s="1">
        <v>2.0200000000000001E-3</v>
      </c>
      <c r="H29" s="1">
        <v>1.67E-3</v>
      </c>
      <c r="I29" s="1">
        <v>2.7999999999999998E-4</v>
      </c>
    </row>
    <row r="30" spans="1:9" x14ac:dyDescent="0.25">
      <c r="A30" s="6" t="s">
        <v>9</v>
      </c>
      <c r="B30" s="1">
        <v>4.1580000000001997E-2</v>
      </c>
      <c r="C30" s="1">
        <v>0.11005999999999</v>
      </c>
      <c r="D30" s="1">
        <v>0.15164000000000999</v>
      </c>
      <c r="E30" s="1">
        <v>3.5850000000000298E-2</v>
      </c>
      <c r="F30" s="1">
        <v>8.1599999999998306E-3</v>
      </c>
      <c r="G30" s="1">
        <v>1.48E-3</v>
      </c>
      <c r="H30" s="1">
        <v>1.33E-3</v>
      </c>
      <c r="I30" s="1">
        <v>2.7999999999999998E-4</v>
      </c>
    </row>
    <row r="31" spans="1:9" x14ac:dyDescent="0.25">
      <c r="A31" s="6" t="s">
        <v>23</v>
      </c>
      <c r="B31" s="1">
        <v>2.89599999999989E-2</v>
      </c>
      <c r="C31" s="1">
        <v>0.107269999999991</v>
      </c>
      <c r="D31" s="1">
        <v>0.13622999999999499</v>
      </c>
      <c r="E31" s="1">
        <v>2.58399999999991E-2</v>
      </c>
      <c r="F31" s="1">
        <v>6.4999999999999E-3</v>
      </c>
      <c r="G31" s="1">
        <v>1.1100000000000001E-3</v>
      </c>
      <c r="H31" s="1">
        <v>1.2700000000000001E-3</v>
      </c>
      <c r="I31" s="1">
        <v>2.5000000000000001E-4</v>
      </c>
    </row>
    <row r="32" spans="1:9" x14ac:dyDescent="0.25">
      <c r="A32" s="6" t="s">
        <v>25</v>
      </c>
      <c r="B32" s="1">
        <v>2.9689999999998901E-2</v>
      </c>
      <c r="C32" s="1">
        <v>0.102759999999992</v>
      </c>
      <c r="D32" s="1">
        <v>0.13244999999999099</v>
      </c>
      <c r="E32" s="1">
        <v>2.8389999999998999E-2</v>
      </c>
      <c r="F32" s="1">
        <v>4.1499999999999896E-3</v>
      </c>
      <c r="G32" s="1">
        <v>5.1000000000000004E-4</v>
      </c>
      <c r="H32" s="1">
        <v>5.9000000000000003E-4</v>
      </c>
      <c r="I32" s="1">
        <v>9.0000000000000006E-5</v>
      </c>
    </row>
    <row r="33" spans="1:9" x14ac:dyDescent="0.25">
      <c r="A33" s="6" t="s">
        <v>1</v>
      </c>
      <c r="B33" s="1">
        <v>5.0660000000004798E-2</v>
      </c>
      <c r="C33" s="1">
        <v>0.119089999999986</v>
      </c>
      <c r="D33" s="1">
        <v>0.16975000000002899</v>
      </c>
      <c r="E33" s="1">
        <v>1.9799999999999301E-2</v>
      </c>
      <c r="F33" s="1">
        <v>2.7599999999999999E-3</v>
      </c>
      <c r="G33" s="1">
        <v>3.3E-4</v>
      </c>
      <c r="H33" s="1">
        <v>2.7999999999999998E-4</v>
      </c>
      <c r="I33" s="1">
        <v>6.0000000000000002E-5</v>
      </c>
    </row>
  </sheetData>
  <sortState ref="A2:I33">
    <sortCondition descending="1" ref="I2:I33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workbookViewId="0">
      <selection activeCell="D2" sqref="D2"/>
    </sheetView>
  </sheetViews>
  <sheetFormatPr defaultRowHeight="15" x14ac:dyDescent="0.25"/>
  <cols>
    <col min="1" max="2" width="12" bestFit="1" customWidth="1"/>
    <col min="5" max="5" width="10.5703125" bestFit="1" customWidth="1"/>
  </cols>
  <sheetData>
    <row r="1" spans="1:9" x14ac:dyDescent="0.25">
      <c r="A1" t="s">
        <v>40</v>
      </c>
      <c r="B1" s="2" t="s">
        <v>41</v>
      </c>
      <c r="C1" s="2" t="s">
        <v>42</v>
      </c>
      <c r="D1" s="2" t="s">
        <v>43</v>
      </c>
      <c r="E1" s="4" t="s">
        <v>44</v>
      </c>
      <c r="F1" s="4" t="s">
        <v>42</v>
      </c>
      <c r="G1" s="4" t="s">
        <v>43</v>
      </c>
    </row>
    <row r="2" spans="1:9" x14ac:dyDescent="0.25">
      <c r="A2" t="s">
        <v>16</v>
      </c>
      <c r="B2" s="3">
        <f t="shared" ref="B2:B33" si="0">SQRT(C2*D2)</f>
        <v>3.3700746727937885</v>
      </c>
      <c r="C2" s="3">
        <v>3.5605868599999999</v>
      </c>
      <c r="D2" s="3">
        <v>3.189756</v>
      </c>
      <c r="E2" s="5">
        <f>B2/$C$17</f>
        <v>1.3511592620611901</v>
      </c>
      <c r="F2" s="5">
        <f t="shared" ref="F2:G17" si="1">C2/$C$17</f>
        <v>1.4275410432594722</v>
      </c>
      <c r="G2" s="5">
        <f t="shared" si="1"/>
        <v>1.2788643521487246</v>
      </c>
      <c r="I2" t="s">
        <v>45</v>
      </c>
    </row>
    <row r="3" spans="1:9" x14ac:dyDescent="0.25">
      <c r="A3" t="s">
        <v>5</v>
      </c>
      <c r="B3" s="3">
        <f t="shared" si="0"/>
        <v>3.0886342602500925</v>
      </c>
      <c r="C3" s="3">
        <v>3.4319635599999998</v>
      </c>
      <c r="D3" s="3">
        <v>2.77965119</v>
      </c>
      <c r="E3" s="5">
        <f t="shared" ref="E3:G33" si="2">B3/$C$17</f>
        <v>1.2383217563534921</v>
      </c>
      <c r="F3" s="5">
        <f t="shared" si="1"/>
        <v>1.3759722858919083</v>
      </c>
      <c r="G3" s="5">
        <f t="shared" si="1"/>
        <v>1.1144416119285554</v>
      </c>
      <c r="I3" t="s">
        <v>46</v>
      </c>
    </row>
    <row r="4" spans="1:9" x14ac:dyDescent="0.25">
      <c r="A4" t="s">
        <v>8</v>
      </c>
      <c r="B4" s="3">
        <f t="shared" si="0"/>
        <v>2.9111116906335699</v>
      </c>
      <c r="C4" s="3">
        <v>2.8879842199999999</v>
      </c>
      <c r="D4" s="3">
        <v>2.9344243699999999</v>
      </c>
      <c r="E4" s="5">
        <f t="shared" si="2"/>
        <v>1.1671478841248919</v>
      </c>
      <c r="F4" s="5">
        <f t="shared" si="1"/>
        <v>1.1578754201029919</v>
      </c>
      <c r="G4" s="5">
        <f t="shared" si="1"/>
        <v>1.1764946036215558</v>
      </c>
      <c r="I4" t="s">
        <v>47</v>
      </c>
    </row>
    <row r="5" spans="1:9" x14ac:dyDescent="0.25">
      <c r="A5" t="s">
        <v>20</v>
      </c>
      <c r="B5" s="3">
        <f t="shared" si="0"/>
        <v>2.9032659585458918</v>
      </c>
      <c r="C5" s="3">
        <v>3.4441304800000001</v>
      </c>
      <c r="D5" s="3">
        <v>2.4473385300000001</v>
      </c>
      <c r="E5" s="5">
        <f t="shared" si="2"/>
        <v>1.1640023058789568</v>
      </c>
      <c r="F5" s="5">
        <f t="shared" si="1"/>
        <v>1.3808503518829891</v>
      </c>
      <c r="G5" s="5">
        <f t="shared" si="1"/>
        <v>0.98120796815087485</v>
      </c>
      <c r="I5" t="s">
        <v>48</v>
      </c>
    </row>
    <row r="6" spans="1:9" x14ac:dyDescent="0.25">
      <c r="A6" t="s">
        <v>12</v>
      </c>
      <c r="B6" s="3">
        <f t="shared" si="0"/>
        <v>2.8529460886495639</v>
      </c>
      <c r="C6" s="3">
        <v>2.7689006300000001</v>
      </c>
      <c r="D6" s="3">
        <v>2.9395426100000002</v>
      </c>
      <c r="E6" s="5">
        <f t="shared" si="2"/>
        <v>1.1438276317611951</v>
      </c>
      <c r="F6" s="5">
        <f t="shared" si="1"/>
        <v>1.1101314051448279</v>
      </c>
      <c r="G6" s="5">
        <f t="shared" si="1"/>
        <v>1.1785466523305297</v>
      </c>
    </row>
    <row r="7" spans="1:9" x14ac:dyDescent="0.25">
      <c r="A7" t="s">
        <v>4</v>
      </c>
      <c r="B7" s="3">
        <f t="shared" si="0"/>
        <v>2.630650298742772</v>
      </c>
      <c r="C7" s="3">
        <v>2.54672812</v>
      </c>
      <c r="D7" s="3">
        <v>2.7173379600000001</v>
      </c>
      <c r="E7" s="5">
        <f t="shared" si="2"/>
        <v>1.0547028957799669</v>
      </c>
      <c r="F7" s="5">
        <f t="shared" si="1"/>
        <v>1.0210560956019017</v>
      </c>
      <c r="G7" s="5">
        <f t="shared" si="1"/>
        <v>1.0894584569429564</v>
      </c>
    </row>
    <row r="8" spans="1:9" x14ac:dyDescent="0.25">
      <c r="A8" t="s">
        <v>27</v>
      </c>
      <c r="B8" s="3">
        <f t="shared" si="0"/>
        <v>2.4977588298314215</v>
      </c>
      <c r="C8" s="3">
        <v>2.1262381700000001</v>
      </c>
      <c r="D8" s="3">
        <v>2.9341958300000002</v>
      </c>
      <c r="E8" s="5">
        <f t="shared" si="2"/>
        <v>1.0014229075001715</v>
      </c>
      <c r="F8" s="5">
        <f t="shared" si="1"/>
        <v>0.8524696559206848</v>
      </c>
      <c r="G8" s="5">
        <f t="shared" si="1"/>
        <v>1.1764029754032721</v>
      </c>
    </row>
    <row r="9" spans="1:9" x14ac:dyDescent="0.25">
      <c r="A9" t="s">
        <v>22</v>
      </c>
      <c r="B9" s="3">
        <f t="shared" si="0"/>
        <v>2.4499787217419282</v>
      </c>
      <c r="C9" s="3">
        <v>2.7179054100000002</v>
      </c>
      <c r="D9" s="3">
        <v>2.20846381</v>
      </c>
      <c r="E9" s="5">
        <f t="shared" si="2"/>
        <v>0.98226649648394782</v>
      </c>
      <c r="F9" s="5">
        <f t="shared" si="1"/>
        <v>1.0896859638671936</v>
      </c>
      <c r="G9" s="5">
        <f t="shared" si="1"/>
        <v>0.88543626522516261</v>
      </c>
    </row>
    <row r="10" spans="1:9" x14ac:dyDescent="0.25">
      <c r="A10" t="s">
        <v>24</v>
      </c>
      <c r="B10" s="3">
        <f t="shared" si="0"/>
        <v>2.4438938085327471</v>
      </c>
      <c r="C10" s="3">
        <v>3.3079782099999999</v>
      </c>
      <c r="D10" s="3">
        <v>1.80551883</v>
      </c>
      <c r="E10" s="5">
        <f t="shared" si="2"/>
        <v>0.97982688085531011</v>
      </c>
      <c r="F10" s="5">
        <f t="shared" si="1"/>
        <v>1.3262630152443471</v>
      </c>
      <c r="G10" s="5">
        <f t="shared" si="1"/>
        <v>0.72388410549906423</v>
      </c>
    </row>
    <row r="11" spans="1:9" x14ac:dyDescent="0.25">
      <c r="A11" t="s">
        <v>14</v>
      </c>
      <c r="B11" s="3">
        <f t="shared" si="0"/>
        <v>2.3904330970560785</v>
      </c>
      <c r="C11" s="3">
        <v>2.2361501499999998</v>
      </c>
      <c r="D11" s="3">
        <v>2.55536078</v>
      </c>
      <c r="E11" s="5">
        <f t="shared" si="2"/>
        <v>0.95839295357434584</v>
      </c>
      <c r="F11" s="5">
        <f t="shared" si="1"/>
        <v>0.89653651028073089</v>
      </c>
      <c r="G11" s="5">
        <f t="shared" si="1"/>
        <v>1.0245171757403888</v>
      </c>
    </row>
    <row r="12" spans="1:9" x14ac:dyDescent="0.25">
      <c r="A12" t="s">
        <v>28</v>
      </c>
      <c r="B12" s="3">
        <f t="shared" si="0"/>
        <v>2.3449479382390446</v>
      </c>
      <c r="C12" s="3">
        <v>3.2506561399999998</v>
      </c>
      <c r="D12" s="3">
        <v>1.69159105</v>
      </c>
      <c r="E12" s="5">
        <f t="shared" si="2"/>
        <v>0.94015665331723275</v>
      </c>
      <c r="F12" s="5">
        <f t="shared" si="1"/>
        <v>1.303280958963436</v>
      </c>
      <c r="G12" s="5">
        <f t="shared" si="1"/>
        <v>0.67820720213672481</v>
      </c>
    </row>
    <row r="13" spans="1:9" x14ac:dyDescent="0.25">
      <c r="A13" t="s">
        <v>30</v>
      </c>
      <c r="B13" s="3">
        <f t="shared" si="0"/>
        <v>2.2744830999775574</v>
      </c>
      <c r="C13" s="3">
        <v>2.3562653099999999</v>
      </c>
      <c r="D13" s="3">
        <v>2.1955394199999998</v>
      </c>
      <c r="E13" s="5">
        <f t="shared" si="2"/>
        <v>0.91190528558486028</v>
      </c>
      <c r="F13" s="5">
        <f t="shared" si="1"/>
        <v>0.94469411113692192</v>
      </c>
      <c r="G13" s="5">
        <f t="shared" si="1"/>
        <v>0.88025450786056558</v>
      </c>
    </row>
    <row r="14" spans="1:9" x14ac:dyDescent="0.25">
      <c r="A14" t="s">
        <v>11</v>
      </c>
      <c r="B14" s="3">
        <f t="shared" si="0"/>
        <v>2.2642501461808764</v>
      </c>
      <c r="C14" s="3">
        <v>2.2785110899999999</v>
      </c>
      <c r="D14" s="3">
        <v>2.2500784600000001</v>
      </c>
      <c r="E14" s="5">
        <f t="shared" si="2"/>
        <v>0.90780260192261142</v>
      </c>
      <c r="F14" s="5">
        <f t="shared" si="1"/>
        <v>0.91352022191557414</v>
      </c>
      <c r="G14" s="5">
        <f t="shared" si="1"/>
        <v>0.90212076786804385</v>
      </c>
    </row>
    <row r="15" spans="1:9" x14ac:dyDescent="0.25">
      <c r="A15" t="s">
        <v>6</v>
      </c>
      <c r="B15" s="3">
        <f t="shared" si="0"/>
        <v>2.2210929083467068</v>
      </c>
      <c r="C15" s="3">
        <v>1.95241065</v>
      </c>
      <c r="D15" s="3">
        <v>2.52675005</v>
      </c>
      <c r="E15" s="5">
        <f t="shared" si="2"/>
        <v>0.89049963172572999</v>
      </c>
      <c r="F15" s="5">
        <f t="shared" si="1"/>
        <v>0.78277723469773874</v>
      </c>
      <c r="G15" s="5">
        <f t="shared" si="1"/>
        <v>1.0130463163122845</v>
      </c>
    </row>
    <row r="16" spans="1:9" x14ac:dyDescent="0.25">
      <c r="A16" t="s">
        <v>7</v>
      </c>
      <c r="B16" s="3">
        <f t="shared" si="0"/>
        <v>2.1707747214892117</v>
      </c>
      <c r="C16" s="3">
        <v>1.63877959</v>
      </c>
      <c r="D16" s="3">
        <v>2.8754708199999999</v>
      </c>
      <c r="E16" s="5">
        <f t="shared" si="2"/>
        <v>0.87032563238634197</v>
      </c>
      <c r="F16" s="5">
        <f t="shared" si="1"/>
        <v>0.65703357833009868</v>
      </c>
      <c r="G16" s="5">
        <f t="shared" si="1"/>
        <v>1.1528584403765874</v>
      </c>
    </row>
    <row r="17" spans="1:7" x14ac:dyDescent="0.25">
      <c r="A17" t="s">
        <v>3</v>
      </c>
      <c r="B17" s="3">
        <f t="shared" si="0"/>
        <v>2.1279419285922732</v>
      </c>
      <c r="C17" s="3">
        <v>2.4942098000000001</v>
      </c>
      <c r="D17" s="3">
        <v>1.8154594900000001</v>
      </c>
      <c r="E17" s="5">
        <f t="shared" si="2"/>
        <v>0.85315274143829967</v>
      </c>
      <c r="F17" s="5">
        <f t="shared" si="1"/>
        <v>1</v>
      </c>
      <c r="G17" s="5">
        <f t="shared" si="1"/>
        <v>0.72786960022368608</v>
      </c>
    </row>
    <row r="18" spans="1:7" x14ac:dyDescent="0.25">
      <c r="A18" t="s">
        <v>10</v>
      </c>
      <c r="B18" s="3">
        <f t="shared" si="0"/>
        <v>2.0983090318857065</v>
      </c>
      <c r="C18" s="3">
        <v>2.0803926499999998</v>
      </c>
      <c r="D18" s="3">
        <v>2.1163797099999999</v>
      </c>
      <c r="E18" s="5">
        <f t="shared" si="2"/>
        <v>0.84127206616127737</v>
      </c>
      <c r="F18" s="5">
        <f t="shared" si="2"/>
        <v>0.83408887656523512</v>
      </c>
      <c r="G18" s="5">
        <f t="shared" si="2"/>
        <v>0.84851711752555847</v>
      </c>
    </row>
    <row r="19" spans="1:7" x14ac:dyDescent="0.25">
      <c r="A19" t="s">
        <v>17</v>
      </c>
      <c r="B19" s="3">
        <f t="shared" si="0"/>
        <v>2.021526239274603</v>
      </c>
      <c r="C19" s="3">
        <v>2.2399702800000001</v>
      </c>
      <c r="D19" s="3">
        <v>1.8243850699999999</v>
      </c>
      <c r="E19" s="5">
        <f t="shared" si="2"/>
        <v>0.81048764994612832</v>
      </c>
      <c r="F19" s="5">
        <f t="shared" si="2"/>
        <v>0.89806810958725281</v>
      </c>
      <c r="G19" s="5">
        <f t="shared" si="2"/>
        <v>0.73144812036260942</v>
      </c>
    </row>
    <row r="20" spans="1:7" x14ac:dyDescent="0.25">
      <c r="A20" t="s">
        <v>13</v>
      </c>
      <c r="B20" s="3">
        <f t="shared" si="0"/>
        <v>1.9740017761919073</v>
      </c>
      <c r="C20" s="3">
        <v>2.1784133099999998</v>
      </c>
      <c r="D20" s="3">
        <v>1.7887712099999999</v>
      </c>
      <c r="E20" s="5">
        <f t="shared" si="2"/>
        <v>0.79143373432014708</v>
      </c>
      <c r="F20" s="5">
        <f t="shared" si="2"/>
        <v>0.87338816085158499</v>
      </c>
      <c r="G20" s="5">
        <f t="shared" si="2"/>
        <v>0.71716950594933904</v>
      </c>
    </row>
    <row r="21" spans="1:7" x14ac:dyDescent="0.25">
      <c r="A21" t="s">
        <v>19</v>
      </c>
      <c r="B21" s="3">
        <f t="shared" si="0"/>
        <v>1.8780092802578654</v>
      </c>
      <c r="C21" s="3">
        <v>2.37544646</v>
      </c>
      <c r="D21" s="3">
        <v>1.4847393600000001</v>
      </c>
      <c r="E21" s="5">
        <f t="shared" si="2"/>
        <v>0.75294759897818753</v>
      </c>
      <c r="F21" s="5">
        <f t="shared" si="2"/>
        <v>0.95238438242043633</v>
      </c>
      <c r="G21" s="5">
        <f t="shared" si="2"/>
        <v>0.5952744472417677</v>
      </c>
    </row>
    <row r="22" spans="1:7" x14ac:dyDescent="0.25">
      <c r="A22" t="s">
        <v>0</v>
      </c>
      <c r="B22" s="3">
        <f t="shared" si="0"/>
        <v>1.8679482599479349</v>
      </c>
      <c r="C22" s="3">
        <v>2.2100422200000001</v>
      </c>
      <c r="D22" s="3">
        <v>1.57880726</v>
      </c>
      <c r="E22" s="5">
        <f t="shared" si="2"/>
        <v>0.74891384836509534</v>
      </c>
      <c r="F22" s="5">
        <f t="shared" si="2"/>
        <v>0.88606909490933761</v>
      </c>
      <c r="G22" s="5">
        <f t="shared" si="2"/>
        <v>0.63298895706367597</v>
      </c>
    </row>
    <row r="23" spans="1:7" x14ac:dyDescent="0.25">
      <c r="A23" t="s">
        <v>21</v>
      </c>
      <c r="B23" s="3">
        <f t="shared" si="0"/>
        <v>1.8198192177266768</v>
      </c>
      <c r="C23" s="3">
        <v>2.0220061999999999</v>
      </c>
      <c r="D23" s="3">
        <v>1.63784957</v>
      </c>
      <c r="E23" s="5">
        <f t="shared" si="2"/>
        <v>0.72961753968197729</v>
      </c>
      <c r="F23" s="5">
        <f t="shared" si="2"/>
        <v>0.81068007991949986</v>
      </c>
      <c r="G23" s="5">
        <f t="shared" si="2"/>
        <v>0.65666070672964238</v>
      </c>
    </row>
    <row r="24" spans="1:7" x14ac:dyDescent="0.25">
      <c r="A24" t="s">
        <v>29</v>
      </c>
      <c r="B24" s="3">
        <f t="shared" si="0"/>
        <v>1.713801863744258</v>
      </c>
      <c r="C24" s="3">
        <v>1.6964270699999999</v>
      </c>
      <c r="D24" s="3">
        <v>1.7313546099999999</v>
      </c>
      <c r="E24" s="5">
        <f t="shared" si="2"/>
        <v>0.68711215221119648</v>
      </c>
      <c r="F24" s="5">
        <f t="shared" si="2"/>
        <v>0.68014610078109705</v>
      </c>
      <c r="G24" s="5">
        <f t="shared" si="2"/>
        <v>0.69414954988950806</v>
      </c>
    </row>
    <row r="25" spans="1:7" x14ac:dyDescent="0.25">
      <c r="A25" t="s">
        <v>31</v>
      </c>
      <c r="B25" s="3">
        <f t="shared" si="0"/>
        <v>1.7119240780803719</v>
      </c>
      <c r="C25" s="3">
        <v>1.9471051100000001</v>
      </c>
      <c r="D25" s="3">
        <v>1.50514938</v>
      </c>
      <c r="E25" s="5">
        <f t="shared" si="2"/>
        <v>0.68635929426641329</v>
      </c>
      <c r="F25" s="5">
        <f t="shared" si="2"/>
        <v>0.78065009206523039</v>
      </c>
      <c r="G25" s="5">
        <f t="shared" si="2"/>
        <v>0.60345740763266986</v>
      </c>
    </row>
    <row r="26" spans="1:7" x14ac:dyDescent="0.25">
      <c r="A26" t="s">
        <v>2</v>
      </c>
      <c r="B26" s="3">
        <f t="shared" si="0"/>
        <v>1.6443163362789708</v>
      </c>
      <c r="C26" s="3">
        <v>1.46499778</v>
      </c>
      <c r="D26" s="3">
        <v>1.84558383</v>
      </c>
      <c r="E26" s="5">
        <f t="shared" si="2"/>
        <v>0.6592534181683396</v>
      </c>
      <c r="F26" s="5">
        <f t="shared" si="2"/>
        <v>0.58735948355266665</v>
      </c>
      <c r="G26" s="5">
        <f t="shared" si="2"/>
        <v>0.73994730916380813</v>
      </c>
    </row>
    <row r="27" spans="1:7" x14ac:dyDescent="0.25">
      <c r="A27" t="s">
        <v>18</v>
      </c>
      <c r="B27" s="3">
        <f t="shared" si="0"/>
        <v>1.5466352994157713</v>
      </c>
      <c r="C27" s="3">
        <v>1.44836224</v>
      </c>
      <c r="D27" s="3">
        <v>1.6515763000000001</v>
      </c>
      <c r="E27" s="5">
        <f t="shared" si="2"/>
        <v>0.62009029850486963</v>
      </c>
      <c r="F27" s="5">
        <f t="shared" si="2"/>
        <v>0.58068982007848735</v>
      </c>
      <c r="G27" s="5">
        <f t="shared" si="2"/>
        <v>0.66216414513326027</v>
      </c>
    </row>
    <row r="28" spans="1:7" x14ac:dyDescent="0.25">
      <c r="A28" t="s">
        <v>9</v>
      </c>
      <c r="B28" s="3">
        <f t="shared" si="0"/>
        <v>1.5399122462921015</v>
      </c>
      <c r="C28" s="3">
        <v>1.72987085</v>
      </c>
      <c r="D28" s="3">
        <v>1.37081316</v>
      </c>
      <c r="E28" s="5">
        <f t="shared" si="2"/>
        <v>0.61739483434476983</v>
      </c>
      <c r="F28" s="5">
        <f t="shared" si="2"/>
        <v>0.693554668095683</v>
      </c>
      <c r="G28" s="5">
        <f t="shared" si="2"/>
        <v>0.54959817734658889</v>
      </c>
    </row>
    <row r="29" spans="1:7" x14ac:dyDescent="0.25">
      <c r="A29" t="s">
        <v>15</v>
      </c>
      <c r="B29" s="3">
        <f t="shared" si="0"/>
        <v>1.5093286702784894</v>
      </c>
      <c r="C29" s="3">
        <v>1.38842373</v>
      </c>
      <c r="D29" s="3">
        <v>1.6407620999999999</v>
      </c>
      <c r="E29" s="5">
        <f t="shared" si="2"/>
        <v>0.60513300456059838</v>
      </c>
      <c r="F29" s="5">
        <f t="shared" si="2"/>
        <v>0.55665875821673061</v>
      </c>
      <c r="G29" s="5">
        <f t="shared" si="2"/>
        <v>0.65782842325453128</v>
      </c>
    </row>
    <row r="30" spans="1:7" x14ac:dyDescent="0.25">
      <c r="A30" t="s">
        <v>23</v>
      </c>
      <c r="B30" s="3">
        <f t="shared" si="0"/>
        <v>1.4978121909086242</v>
      </c>
      <c r="C30" s="3">
        <v>1.52193848</v>
      </c>
      <c r="D30" s="3">
        <v>1.47406836</v>
      </c>
      <c r="E30" s="5">
        <f t="shared" si="2"/>
        <v>0.60051571880946986</v>
      </c>
      <c r="F30" s="5">
        <f t="shared" si="2"/>
        <v>0.6101886377000042</v>
      </c>
      <c r="G30" s="5">
        <f t="shared" si="2"/>
        <v>0.59099613833607734</v>
      </c>
    </row>
    <row r="31" spans="1:7" x14ac:dyDescent="0.25">
      <c r="A31" t="s">
        <v>26</v>
      </c>
      <c r="B31" s="3">
        <f t="shared" si="0"/>
        <v>1.4939074825520471</v>
      </c>
      <c r="C31" s="3">
        <v>1.5128071199999999</v>
      </c>
      <c r="D31" s="3">
        <v>1.47524396</v>
      </c>
      <c r="E31" s="5">
        <f t="shared" si="2"/>
        <v>0.59895020962232082</v>
      </c>
      <c r="F31" s="5">
        <f t="shared" si="2"/>
        <v>0.60652761447733861</v>
      </c>
      <c r="G31" s="5">
        <f t="shared" si="2"/>
        <v>0.59146746997786626</v>
      </c>
    </row>
    <row r="32" spans="1:7" x14ac:dyDescent="0.25">
      <c r="A32" t="s">
        <v>25</v>
      </c>
      <c r="B32" s="3">
        <f t="shared" si="0"/>
        <v>1.3130286975351819</v>
      </c>
      <c r="C32" s="3">
        <v>1.2978578199999999</v>
      </c>
      <c r="D32" s="3">
        <v>1.32837691</v>
      </c>
      <c r="E32" s="5">
        <f t="shared" si="2"/>
        <v>0.52643073471012014</v>
      </c>
      <c r="F32" s="5">
        <f t="shared" si="2"/>
        <v>0.52034829628205292</v>
      </c>
      <c r="G32" s="5">
        <f t="shared" si="2"/>
        <v>0.53258427178018464</v>
      </c>
    </row>
    <row r="33" spans="1:7" x14ac:dyDescent="0.25">
      <c r="A33" t="s">
        <v>1</v>
      </c>
      <c r="B33" s="3">
        <f t="shared" si="0"/>
        <v>1.2967387904690848</v>
      </c>
      <c r="C33" s="3">
        <v>1.6430409399999999</v>
      </c>
      <c r="D33" s="3">
        <v>1.0234264099999999</v>
      </c>
      <c r="E33" s="5">
        <f t="shared" si="2"/>
        <v>0.51989964535825528</v>
      </c>
      <c r="F33" s="5">
        <f t="shared" si="2"/>
        <v>0.65874207534586693</v>
      </c>
      <c r="G33" s="5">
        <f t="shared" si="2"/>
        <v>0.41032090003014177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L11" sqref="L11"/>
    </sheetView>
  </sheetViews>
  <sheetFormatPr defaultRowHeight="15" x14ac:dyDescent="0.25"/>
  <cols>
    <col min="1" max="1" width="16.7109375" bestFit="1" customWidth="1"/>
    <col min="4" max="4" width="12.5703125" customWidth="1"/>
    <col min="5" max="5" width="3.7109375" bestFit="1" customWidth="1"/>
    <col min="6" max="6" width="6" customWidth="1"/>
  </cols>
  <sheetData>
    <row r="1" spans="1:12" x14ac:dyDescent="0.25">
      <c r="A1" t="s">
        <v>16</v>
      </c>
      <c r="B1" s="3">
        <f>VLOOKUP(A1,Ranking!A:D,3,FALSE)</f>
        <v>3.5605868599999999</v>
      </c>
      <c r="C1" s="3">
        <f>VLOOKUP(A1,Ranking!A:D,4,FALSE)</f>
        <v>3.189756</v>
      </c>
    </row>
    <row r="2" spans="1:12" x14ac:dyDescent="0.25">
      <c r="A2" t="s">
        <v>20</v>
      </c>
      <c r="B2" s="3">
        <f>VLOOKUP(A2,Ranking!A:D,3,FALSE)</f>
        <v>3.4441304800000001</v>
      </c>
      <c r="C2" s="3">
        <f>VLOOKUP(A2,Ranking!A:D,4,FALSE)</f>
        <v>2.4473385300000001</v>
      </c>
    </row>
    <row r="3" spans="1:12" x14ac:dyDescent="0.25">
      <c r="E3" s="8"/>
      <c r="F3" s="8"/>
      <c r="G3" s="12" t="str">
        <f>A1</f>
        <v>Brazil</v>
      </c>
      <c r="H3" s="12"/>
      <c r="I3" s="12"/>
      <c r="J3" s="12"/>
      <c r="K3" s="12"/>
    </row>
    <row r="4" spans="1:12" x14ac:dyDescent="0.25">
      <c r="E4" s="8"/>
      <c r="F4" s="8"/>
      <c r="G4" s="7">
        <v>0</v>
      </c>
      <c r="H4" s="7">
        <v>1</v>
      </c>
      <c r="I4" s="7">
        <v>2</v>
      </c>
      <c r="J4" s="7">
        <v>3</v>
      </c>
      <c r="K4" s="7">
        <v>4</v>
      </c>
      <c r="L4" s="10">
        <f>SUM(H5:K5,I6:K6,J7:K7,K8)</f>
        <v>0.44076543442703914</v>
      </c>
    </row>
    <row r="5" spans="1:12" x14ac:dyDescent="0.25">
      <c r="E5" s="13" t="str">
        <f>A2</f>
        <v>Germany</v>
      </c>
      <c r="F5" s="7">
        <v>0</v>
      </c>
      <c r="G5" s="9">
        <f t="shared" ref="G5:K9" si="0">_xlfn.POISSON.DIST(G$4,$B$1/$C$2,FALSE)*_xlfn.POISSON.DIST($F5,$B$2/$C$1,FALSE)</f>
        <v>7.9291167805039628E-2</v>
      </c>
      <c r="H5" s="11">
        <f t="shared" si="0"/>
        <v>0.11535923074797466</v>
      </c>
      <c r="I5" s="9">
        <f t="shared" si="0"/>
        <v>8.3916989036442499E-2</v>
      </c>
      <c r="J5" s="9">
        <f t="shared" si="0"/>
        <v>4.0696417057583645E-2</v>
      </c>
      <c r="K5" s="9">
        <f t="shared" si="0"/>
        <v>1.480211319848671E-2</v>
      </c>
    </row>
    <row r="6" spans="1:12" x14ac:dyDescent="0.25">
      <c r="E6" s="13"/>
      <c r="F6" s="7">
        <v>1</v>
      </c>
      <c r="G6" s="9">
        <f t="shared" si="0"/>
        <v>8.5614425627581453E-2</v>
      </c>
      <c r="H6" s="9">
        <f t="shared" si="0"/>
        <v>0.12455881978698456</v>
      </c>
      <c r="I6" s="9">
        <f t="shared" si="0"/>
        <v>9.0609143686926977E-2</v>
      </c>
      <c r="J6" s="9">
        <f t="shared" si="0"/>
        <v>4.3941847092635218E-2</v>
      </c>
      <c r="K6" s="9">
        <f t="shared" si="0"/>
        <v>1.5982541998610041E-2</v>
      </c>
    </row>
    <row r="7" spans="1:12" x14ac:dyDescent="0.25">
      <c r="E7" s="13"/>
      <c r="F7" s="7">
        <v>2</v>
      </c>
      <c r="G7" s="9">
        <f t="shared" si="0"/>
        <v>4.6220973145225899E-2</v>
      </c>
      <c r="H7" s="9">
        <f t="shared" si="0"/>
        <v>6.7246025680519225E-2</v>
      </c>
      <c r="I7" s="9">
        <f t="shared" si="0"/>
        <v>4.8917489854842303E-2</v>
      </c>
      <c r="J7" s="9">
        <f t="shared" si="0"/>
        <v>2.3723045731279185E-2</v>
      </c>
      <c r="K7" s="9">
        <f t="shared" si="0"/>
        <v>8.6285534136926068E-3</v>
      </c>
    </row>
    <row r="8" spans="1:12" x14ac:dyDescent="0.25">
      <c r="E8" s="13"/>
      <c r="F8" s="7">
        <v>3</v>
      </c>
      <c r="G8" s="9">
        <f t="shared" si="0"/>
        <v>1.6635657233628948E-2</v>
      </c>
      <c r="H8" s="9">
        <f t="shared" si="0"/>
        <v>2.4202905248879962E-2</v>
      </c>
      <c r="I8" s="9">
        <f t="shared" si="0"/>
        <v>1.760617612696741E-2</v>
      </c>
      <c r="J8" s="9">
        <f t="shared" si="0"/>
        <v>8.5382983193210329E-3</v>
      </c>
      <c r="K8" s="9">
        <f t="shared" si="0"/>
        <v>3.1055524634075208E-3</v>
      </c>
    </row>
    <row r="9" spans="1:12" x14ac:dyDescent="0.25">
      <c r="E9" s="13"/>
      <c r="F9" s="7">
        <v>4</v>
      </c>
      <c r="G9" s="9">
        <f t="shared" si="0"/>
        <v>4.4905765623745146E-3</v>
      </c>
      <c r="H9" s="9">
        <f t="shared" si="0"/>
        <v>6.5332554960488703E-3</v>
      </c>
      <c r="I9" s="9">
        <f t="shared" si="0"/>
        <v>4.7525553549500957E-3</v>
      </c>
      <c r="J9" s="9">
        <f t="shared" si="0"/>
        <v>2.3048011735777229E-3</v>
      </c>
      <c r="K9" s="9">
        <f t="shared" si="0"/>
        <v>8.3830298433962703E-4</v>
      </c>
    </row>
    <row r="10" spans="1:12" x14ac:dyDescent="0.25">
      <c r="F10" s="10">
        <f>SUM(G6:G9,H7:H9,I8:I9,J9)</f>
        <v>0.27560735164975414</v>
      </c>
      <c r="L10" s="10">
        <f>1-F10-L4</f>
        <v>0.28362721392320672</v>
      </c>
    </row>
  </sheetData>
  <mergeCells count="2">
    <mergeCell ref="G3:K3"/>
    <mergeCell ref="E5:E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Probabilidades_grafico</vt:lpstr>
      <vt:lpstr>Ranking</vt:lpstr>
      <vt:lpstr>PrevConfrontos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Cezar</dc:creator>
  <cp:lastModifiedBy>Moacyr Alvim Horta Barbosa da Silva</cp:lastModifiedBy>
  <dcterms:created xsi:type="dcterms:W3CDTF">2018-05-12T02:25:48Z</dcterms:created>
  <dcterms:modified xsi:type="dcterms:W3CDTF">2018-06-25T18:08:22Z</dcterms:modified>
</cp:coreProperties>
</file>