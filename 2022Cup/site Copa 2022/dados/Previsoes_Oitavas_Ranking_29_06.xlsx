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20730" windowHeight="11760" activeTab="2"/>
  </bookViews>
  <sheets>
    <sheet name="Probabilidades_grafico" sheetId="4" r:id="rId1"/>
    <sheet name="Ranking" sheetId="2" r:id="rId2"/>
    <sheet name="PrevConfrontos" sheetId="5" r:id="rId3"/>
  </sheets>
  <calcPr calcId="144525"/>
</workbook>
</file>

<file path=xl/calcChain.xml><?xml version="1.0" encoding="utf-8"?>
<calcChain xmlns="http://schemas.openxmlformats.org/spreadsheetml/2006/main">
  <c r="D10" i="5" l="1"/>
  <c r="L3" i="5"/>
  <c r="F2" i="2"/>
  <c r="G2" i="2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G14" i="2"/>
  <c r="F14" i="2"/>
  <c r="D17" i="4" l="1"/>
  <c r="D11" i="4"/>
  <c r="D33" i="4"/>
  <c r="D32" i="4"/>
  <c r="D7" i="4"/>
  <c r="D31" i="4"/>
  <c r="D30" i="4"/>
  <c r="D5" i="4"/>
  <c r="D29" i="4"/>
  <c r="D8" i="4"/>
  <c r="D16" i="4"/>
  <c r="D28" i="4"/>
  <c r="D27" i="4"/>
  <c r="D26" i="4"/>
  <c r="D14" i="4"/>
  <c r="D2" i="4"/>
  <c r="D25" i="4"/>
  <c r="D6" i="4"/>
  <c r="D24" i="4"/>
  <c r="D12" i="4"/>
  <c r="D10" i="4"/>
  <c r="D23" i="4"/>
  <c r="D22" i="4"/>
  <c r="D3" i="4"/>
  <c r="D21" i="4"/>
  <c r="D20" i="4"/>
  <c r="D4" i="4"/>
  <c r="D9" i="4"/>
  <c r="D13" i="4"/>
  <c r="D19" i="4"/>
  <c r="D18" i="4"/>
  <c r="D15" i="4"/>
  <c r="E14" i="2"/>
  <c r="B32" i="2"/>
  <c r="E32" i="2" s="1"/>
  <c r="B31" i="2"/>
  <c r="E31" i="2" s="1"/>
  <c r="B14" i="2"/>
  <c r="B10" i="2"/>
  <c r="E10" i="2" s="1"/>
  <c r="B4" i="2"/>
  <c r="E4" i="2" s="1"/>
  <c r="B18" i="2"/>
  <c r="E18" i="2" s="1"/>
  <c r="B15" i="2"/>
  <c r="E15" i="2" s="1"/>
  <c r="B3" i="2"/>
  <c r="E3" i="2" s="1"/>
  <c r="B28" i="2"/>
  <c r="E28" i="2" s="1"/>
  <c r="B17" i="2"/>
  <c r="E17" i="2" s="1"/>
  <c r="B11" i="2"/>
  <c r="E11" i="2" s="1"/>
  <c r="B13" i="2"/>
  <c r="E13" i="2" s="1"/>
  <c r="B24" i="2"/>
  <c r="E24" i="2" s="1"/>
  <c r="B6" i="2"/>
  <c r="E6" i="2" s="1"/>
  <c r="B27" i="2"/>
  <c r="E27" i="2" s="1"/>
  <c r="B2" i="2"/>
  <c r="E2" i="2" s="1"/>
  <c r="B16" i="2"/>
  <c r="E16" i="2" s="1"/>
  <c r="B29" i="2"/>
  <c r="E29" i="2" s="1"/>
  <c r="B21" i="2"/>
  <c r="E21" i="2" s="1"/>
  <c r="B7" i="2"/>
  <c r="E7" i="2" s="1"/>
  <c r="B22" i="2"/>
  <c r="E22" i="2" s="1"/>
  <c r="B9" i="2"/>
  <c r="E9" i="2" s="1"/>
  <c r="B26" i="2"/>
  <c r="E26" i="2" s="1"/>
  <c r="B5" i="2"/>
  <c r="E5" i="2" s="1"/>
  <c r="B33" i="2"/>
  <c r="E33" i="2" s="1"/>
  <c r="B30" i="2"/>
  <c r="E30" i="2" s="1"/>
  <c r="B8" i="2"/>
  <c r="E8" i="2" s="1"/>
  <c r="B19" i="2"/>
  <c r="E19" i="2" s="1"/>
  <c r="B23" i="2"/>
  <c r="E23" i="2" s="1"/>
  <c r="B12" i="2"/>
  <c r="E12" i="2" s="1"/>
  <c r="B25" i="2"/>
  <c r="E25" i="2" s="1"/>
  <c r="B20" i="2"/>
  <c r="E20" i="2" s="1"/>
  <c r="G3" i="5" l="1"/>
  <c r="E5" i="5"/>
  <c r="B2" i="5"/>
  <c r="C2" i="5"/>
  <c r="C1" i="5"/>
  <c r="B1" i="5"/>
  <c r="G6" i="5" l="1"/>
  <c r="J5" i="5"/>
  <c r="J9" i="5"/>
  <c r="K8" i="5"/>
  <c r="G8" i="5"/>
  <c r="H7" i="5"/>
  <c r="I6" i="5"/>
  <c r="K9" i="5"/>
  <c r="H8" i="5"/>
  <c r="J6" i="5"/>
  <c r="I5" i="5"/>
  <c r="I9" i="5"/>
  <c r="J8" i="5"/>
  <c r="K7" i="5"/>
  <c r="G7" i="5"/>
  <c r="H6" i="5"/>
  <c r="K5" i="5"/>
  <c r="G9" i="5"/>
  <c r="I7" i="5"/>
  <c r="G5" i="5"/>
  <c r="H5" i="5"/>
  <c r="H9" i="5"/>
  <c r="I8" i="5"/>
  <c r="J7" i="5"/>
  <c r="K6" i="5"/>
  <c r="L4" i="5" l="1"/>
  <c r="F10" i="5"/>
  <c r="L10" i="5" l="1"/>
</calcChain>
</file>

<file path=xl/sharedStrings.xml><?xml version="1.0" encoding="utf-8"?>
<sst xmlns="http://schemas.openxmlformats.org/spreadsheetml/2006/main" count="85" uniqueCount="76">
  <si>
    <t>Russia</t>
  </si>
  <si>
    <t>Saudi Arabia</t>
  </si>
  <si>
    <t>Egypt</t>
  </si>
  <si>
    <t>Uruguay</t>
  </si>
  <si>
    <t>Portugal</t>
  </si>
  <si>
    <t>Spain</t>
  </si>
  <si>
    <t>Morocco</t>
  </si>
  <si>
    <t>Iran</t>
  </si>
  <si>
    <t>France</t>
  </si>
  <si>
    <t>Australia</t>
  </si>
  <si>
    <t>Peru</t>
  </si>
  <si>
    <t>Denmark</t>
  </si>
  <si>
    <t>Argentina</t>
  </si>
  <si>
    <t>Iceland</t>
  </si>
  <si>
    <t>Croatia</t>
  </si>
  <si>
    <t>Nigeria</t>
  </si>
  <si>
    <t>Brazil</t>
  </si>
  <si>
    <t>Suisse</t>
  </si>
  <si>
    <t>Costa Rica</t>
  </si>
  <si>
    <t>Serbia</t>
  </si>
  <si>
    <t>Germany</t>
  </si>
  <si>
    <t>Mexico</t>
  </si>
  <si>
    <t>Sweden</t>
  </si>
  <si>
    <t>South Korea</t>
  </si>
  <si>
    <t>Belgium</t>
  </si>
  <si>
    <t>Panama</t>
  </si>
  <si>
    <t>Tunisia</t>
  </si>
  <si>
    <t>England</t>
  </si>
  <si>
    <t>Poland</t>
  </si>
  <si>
    <t>Senegal</t>
  </si>
  <si>
    <t>Colombia</t>
  </si>
  <si>
    <t>Japan</t>
  </si>
  <si>
    <t>chegar quartas</t>
  </si>
  <si>
    <t>chegar semi</t>
  </si>
  <si>
    <t>Terceiro</t>
  </si>
  <si>
    <t>Vice</t>
  </si>
  <si>
    <t>Campeão</t>
  </si>
  <si>
    <t>Selecao</t>
  </si>
  <si>
    <t>Força (geral)</t>
  </si>
  <si>
    <t>ataque</t>
  </si>
  <si>
    <t>defesa</t>
  </si>
  <si>
    <t>Força geral</t>
  </si>
  <si>
    <t>Rússia</t>
  </si>
  <si>
    <t>Arábia Saudita</t>
  </si>
  <si>
    <t>Egito</t>
  </si>
  <si>
    <t>Uruguai</t>
  </si>
  <si>
    <t>Espanha</t>
  </si>
  <si>
    <t>Marrocos</t>
  </si>
  <si>
    <t>Irã</t>
  </si>
  <si>
    <t>França</t>
  </si>
  <si>
    <t>Austrália</t>
  </si>
  <si>
    <t>Dinamarca</t>
  </si>
  <si>
    <t>Islândia</t>
  </si>
  <si>
    <t>Croácia</t>
  </si>
  <si>
    <t>Nigéria</t>
  </si>
  <si>
    <t>Brasil</t>
  </si>
  <si>
    <t>Suíça</t>
  </si>
  <si>
    <t>Sérvia</t>
  </si>
  <si>
    <t>Alemanha</t>
  </si>
  <si>
    <t>México</t>
  </si>
  <si>
    <t>Suécia</t>
  </si>
  <si>
    <t>Coréia do Sul</t>
  </si>
  <si>
    <t>Bélgica</t>
  </si>
  <si>
    <t>Panamá</t>
  </si>
  <si>
    <t>Tunísia</t>
  </si>
  <si>
    <t>Inglaterra</t>
  </si>
  <si>
    <t>Polônia</t>
  </si>
  <si>
    <t>Colômbia</t>
  </si>
  <si>
    <t>Japão</t>
  </si>
  <si>
    <t>chegar final</t>
  </si>
  <si>
    <t>Exemplos:</t>
  </si>
  <si>
    <t>A defesa do Brasil é 1.529  vezes mais eficiente em evitar gols que o ataque do Uruguai para fazer.</t>
  </si>
  <si>
    <t>Assim é mais fácil entender o significado destes números.  A força geral do Brasil é 1.482 mais forte que a do Uruguai.</t>
  </si>
  <si>
    <t>O ataque do Brasil é 1.436 vezes mais eficiente para fazer gols do que o do Uruguai.</t>
  </si>
  <si>
    <t>As colunas azuis apresentam os parâmetros absolutos, e as verdes apresentam os parâmetros comparativos (referência: Uruguai).</t>
  </si>
  <si>
    <t>Empate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</si>
</sst>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42" applyNumberFormat="1" applyFont="1"/>
    <xf numFmtId="0" fontId="0" fillId="33" borderId="10" xfId="0" applyFill="1" applyBorder="1"/>
    <xf numFmtId="165" fontId="0" fillId="33" borderId="10" xfId="0" applyNumberFormat="1" applyFill="1" applyBorder="1"/>
    <xf numFmtId="0" fontId="0" fillId="34" borderId="10" xfId="0" applyFill="1" applyBorder="1"/>
    <xf numFmtId="165" fontId="0" fillId="34" borderId="10" xfId="0" applyNumberFormat="1" applyFill="1" applyBorder="1"/>
    <xf numFmtId="0" fontId="0" fillId="0" borderId="0" xfId="0"/>
    <xf numFmtId="0" fontId="0" fillId="0" borderId="0" xfId="0" applyBorder="1"/>
    <xf numFmtId="164" fontId="0" fillId="0" borderId="10" xfId="42" applyNumberFormat="1" applyFont="1" applyBorder="1"/>
    <xf numFmtId="164" fontId="0" fillId="0" borderId="0" xfId="0" applyNumberFormat="1"/>
    <xf numFmtId="164" fontId="1" fillId="0" borderId="10" xfId="42" applyNumberFormat="1" applyFont="1" applyBorder="1"/>
    <xf numFmtId="164" fontId="0" fillId="0" borderId="0" xfId="42" applyNumberFormat="1" applyFont="1" applyAlignment="1">
      <alignment horizontal="left"/>
    </xf>
    <xf numFmtId="0" fontId="16" fillId="0" borderId="0" xfId="0" applyFont="1"/>
    <xf numFmtId="0" fontId="18" fillId="0" borderId="0" xfId="0" applyFont="1"/>
    <xf numFmtId="0" fontId="19" fillId="0" borderId="0" xfId="0" applyFont="1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vertical="center" textRotation="90"/>
    </xf>
    <xf numFmtId="0" fontId="16" fillId="0" borderId="10" xfId="0" applyFont="1" applyBorder="1" applyAlignment="1">
      <alignment horizontal="center"/>
    </xf>
    <xf numFmtId="0" fontId="0" fillId="0" borderId="0" xfId="0" applyFont="1"/>
    <xf numFmtId="164" fontId="0" fillId="0" borderId="11" xfId="42" applyNumberFormat="1" applyFont="1" applyFill="1" applyBorder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Porcentagem" xfId="42" builtinId="5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Probabilidade de Ser Campeão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Probabilidades_grafico!$G$1</c:f>
              <c:strCache>
                <c:ptCount val="1"/>
                <c:pt idx="0">
                  <c:v>Campeão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Probabilidades_grafico!$A$2:$A$33</c:f>
              <c:strCache>
                <c:ptCount val="32"/>
                <c:pt idx="0">
                  <c:v>Brasil</c:v>
                </c:pt>
                <c:pt idx="1">
                  <c:v>França</c:v>
                </c:pt>
                <c:pt idx="2">
                  <c:v>Espanha</c:v>
                </c:pt>
                <c:pt idx="3">
                  <c:v>Bélgica</c:v>
                </c:pt>
                <c:pt idx="4">
                  <c:v>Croácia</c:v>
                </c:pt>
                <c:pt idx="5">
                  <c:v>Inglaterra</c:v>
                </c:pt>
                <c:pt idx="6">
                  <c:v>Suécia</c:v>
                </c:pt>
                <c:pt idx="7">
                  <c:v>Portugal</c:v>
                </c:pt>
                <c:pt idx="8">
                  <c:v>Dinamarca</c:v>
                </c:pt>
                <c:pt idx="9">
                  <c:v>Colômbia</c:v>
                </c:pt>
                <c:pt idx="10">
                  <c:v>Argentina</c:v>
                </c:pt>
                <c:pt idx="11">
                  <c:v>Uruguai</c:v>
                </c:pt>
                <c:pt idx="12">
                  <c:v>Suíça</c:v>
                </c:pt>
                <c:pt idx="13">
                  <c:v>Rússia</c:v>
                </c:pt>
                <c:pt idx="14">
                  <c:v>México</c:v>
                </c:pt>
                <c:pt idx="15">
                  <c:v>Japão</c:v>
                </c:pt>
                <c:pt idx="16">
                  <c:v>Arábia Saudita</c:v>
                </c:pt>
                <c:pt idx="17">
                  <c:v>Egito</c:v>
                </c:pt>
                <c:pt idx="18">
                  <c:v>Marrocos</c:v>
                </c:pt>
                <c:pt idx="19">
                  <c:v>Irã</c:v>
                </c:pt>
                <c:pt idx="20">
                  <c:v>Austrália</c:v>
                </c:pt>
                <c:pt idx="21">
                  <c:v>Peru</c:v>
                </c:pt>
                <c:pt idx="22">
                  <c:v>Islândia</c:v>
                </c:pt>
                <c:pt idx="23">
                  <c:v>Nigéria</c:v>
                </c:pt>
                <c:pt idx="24">
                  <c:v>Costa Rica</c:v>
                </c:pt>
                <c:pt idx="25">
                  <c:v>Sérvia</c:v>
                </c:pt>
                <c:pt idx="26">
                  <c:v>Alemanha</c:v>
                </c:pt>
                <c:pt idx="27">
                  <c:v>Coréia do Sul</c:v>
                </c:pt>
                <c:pt idx="28">
                  <c:v>Panamá</c:v>
                </c:pt>
                <c:pt idx="29">
                  <c:v>Tunísia</c:v>
                </c:pt>
                <c:pt idx="30">
                  <c:v>Polônia</c:v>
                </c:pt>
                <c:pt idx="31">
                  <c:v>Senegal</c:v>
                </c:pt>
              </c:strCache>
            </c:strRef>
          </c:cat>
          <c:val>
            <c:numRef>
              <c:f>Probabilidades_grafico!$G$2:$G$33</c:f>
              <c:numCache>
                <c:formatCode>0.0%</c:formatCode>
                <c:ptCount val="32"/>
                <c:pt idx="0">
                  <c:v>0.25116000000011002</c:v>
                </c:pt>
                <c:pt idx="1">
                  <c:v>0.125349999999984</c:v>
                </c:pt>
                <c:pt idx="2">
                  <c:v>0.113929999999988</c:v>
                </c:pt>
                <c:pt idx="3">
                  <c:v>9.7809999999994707E-2</c:v>
                </c:pt>
                <c:pt idx="4">
                  <c:v>7.6730000000002893E-2</c:v>
                </c:pt>
                <c:pt idx="5">
                  <c:v>6.0070000000007701E-2</c:v>
                </c:pt>
                <c:pt idx="6">
                  <c:v>5.8940000000007299E-2</c:v>
                </c:pt>
                <c:pt idx="7">
                  <c:v>4.5650000000003299E-2</c:v>
                </c:pt>
                <c:pt idx="8">
                  <c:v>4.3620000000002601E-2</c:v>
                </c:pt>
                <c:pt idx="9">
                  <c:v>3.89300000000012E-2</c:v>
                </c:pt>
                <c:pt idx="10">
                  <c:v>2.7079999999999001E-2</c:v>
                </c:pt>
                <c:pt idx="11">
                  <c:v>2.6399999999999001E-2</c:v>
                </c:pt>
                <c:pt idx="12">
                  <c:v>2.0549999999999301E-2</c:v>
                </c:pt>
                <c:pt idx="13">
                  <c:v>6.7799999999998903E-3</c:v>
                </c:pt>
                <c:pt idx="14">
                  <c:v>4.5099999999999802E-3</c:v>
                </c:pt>
                <c:pt idx="15">
                  <c:v>2.49E-3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B69-42D1-9137-642EC26A0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overlap val="-27"/>
        <c:axId val="88025088"/>
        <c:axId val="74014016"/>
      </c:barChart>
      <c:catAx>
        <c:axId val="8802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014016"/>
        <c:crosses val="autoZero"/>
        <c:auto val="1"/>
        <c:lblAlgn val="ctr"/>
        <c:lblOffset val="100"/>
        <c:noMultiLvlLbl val="0"/>
      </c:catAx>
      <c:valAx>
        <c:axId val="740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02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Ranking!$B$1</c:f>
              <c:strCache>
                <c:ptCount val="1"/>
                <c:pt idx="0">
                  <c:v>Força (geral)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Ranking!$A$2:$A$33</c:f>
              <c:strCache>
                <c:ptCount val="32"/>
                <c:pt idx="0">
                  <c:v>Brazil</c:v>
                </c:pt>
                <c:pt idx="1">
                  <c:v>France</c:v>
                </c:pt>
                <c:pt idx="2">
                  <c:v>Spain</c:v>
                </c:pt>
                <c:pt idx="3">
                  <c:v>Belgium</c:v>
                </c:pt>
                <c:pt idx="4">
                  <c:v>Croatia</c:v>
                </c:pt>
                <c:pt idx="5">
                  <c:v>Germany</c:v>
                </c:pt>
                <c:pt idx="6">
                  <c:v>England</c:v>
                </c:pt>
                <c:pt idx="7">
                  <c:v>Sweden</c:v>
                </c:pt>
                <c:pt idx="8">
                  <c:v>Portugal</c:v>
                </c:pt>
                <c:pt idx="9">
                  <c:v>Denmark</c:v>
                </c:pt>
                <c:pt idx="10">
                  <c:v>Colombia</c:v>
                </c:pt>
                <c:pt idx="11">
                  <c:v>Argentina</c:v>
                </c:pt>
                <c:pt idx="12">
                  <c:v>Uruguay</c:v>
                </c:pt>
                <c:pt idx="13">
                  <c:v>Iran</c:v>
                </c:pt>
                <c:pt idx="14">
                  <c:v>Suisse</c:v>
                </c:pt>
                <c:pt idx="15">
                  <c:v>Peru</c:v>
                </c:pt>
                <c:pt idx="16">
                  <c:v>Morocco</c:v>
                </c:pt>
                <c:pt idx="17">
                  <c:v>Poland</c:v>
                </c:pt>
                <c:pt idx="18">
                  <c:v>Russia</c:v>
                </c:pt>
                <c:pt idx="19">
                  <c:v>Serbia</c:v>
                </c:pt>
                <c:pt idx="20">
                  <c:v>Mexico</c:v>
                </c:pt>
                <c:pt idx="21">
                  <c:v>Senegal</c:v>
                </c:pt>
                <c:pt idx="22">
                  <c:v>Iceland</c:v>
                </c:pt>
                <c:pt idx="23">
                  <c:v>Japan</c:v>
                </c:pt>
                <c:pt idx="24">
                  <c:v>South Korea</c:v>
                </c:pt>
                <c:pt idx="25">
                  <c:v>Nigeria</c:v>
                </c:pt>
                <c:pt idx="26">
                  <c:v>Australia</c:v>
                </c:pt>
                <c:pt idx="27">
                  <c:v>Costa Rica</c:v>
                </c:pt>
                <c:pt idx="28">
                  <c:v>Tunisia</c:v>
                </c:pt>
                <c:pt idx="29">
                  <c:v>Egypt</c:v>
                </c:pt>
                <c:pt idx="30">
                  <c:v>Saudi Arabia</c:v>
                </c:pt>
                <c:pt idx="31">
                  <c:v>Panama</c:v>
                </c:pt>
              </c:strCache>
            </c:strRef>
          </c:cat>
          <c:val>
            <c:numRef>
              <c:f>Ranking!$B$2:$B$33</c:f>
              <c:numCache>
                <c:formatCode>0.000</c:formatCode>
                <c:ptCount val="32"/>
                <c:pt idx="0">
                  <c:v>3.4642156356294325</c:v>
                </c:pt>
                <c:pt idx="1">
                  <c:v>3.0665135744112684</c:v>
                </c:pt>
                <c:pt idx="2">
                  <c:v>2.811934398588078</c:v>
                </c:pt>
                <c:pt idx="3">
                  <c:v>2.7806864022419036</c:v>
                </c:pt>
                <c:pt idx="4">
                  <c:v>2.7566088188068196</c:v>
                </c:pt>
                <c:pt idx="5">
                  <c:v>2.6214900549783051</c:v>
                </c:pt>
                <c:pt idx="6">
                  <c:v>2.5828349440752172</c:v>
                </c:pt>
                <c:pt idx="7">
                  <c:v>2.5575059943417529</c:v>
                </c:pt>
                <c:pt idx="8">
                  <c:v>2.5355684975928683</c:v>
                </c:pt>
                <c:pt idx="9">
                  <c:v>2.5025258497288081</c:v>
                </c:pt>
                <c:pt idx="10">
                  <c:v>2.4318355859793743</c:v>
                </c:pt>
                <c:pt idx="11">
                  <c:v>2.4087999009884387</c:v>
                </c:pt>
                <c:pt idx="12">
                  <c:v>2.3379376380561228</c:v>
                </c:pt>
                <c:pt idx="13">
                  <c:v>2.2035386724347545</c:v>
                </c:pt>
                <c:pt idx="14">
                  <c:v>2.1997954357418958</c:v>
                </c:pt>
                <c:pt idx="15">
                  <c:v>2.1918186858899076</c:v>
                </c:pt>
                <c:pt idx="16">
                  <c:v>2.089273295044269</c:v>
                </c:pt>
                <c:pt idx="17">
                  <c:v>2.0613170035660415</c:v>
                </c:pt>
                <c:pt idx="18">
                  <c:v>1.976701551772726</c:v>
                </c:pt>
                <c:pt idx="19">
                  <c:v>1.9145863216467522</c:v>
                </c:pt>
                <c:pt idx="20">
                  <c:v>1.8589939411354259</c:v>
                </c:pt>
                <c:pt idx="21">
                  <c:v>1.7900308656104265</c:v>
                </c:pt>
                <c:pt idx="22">
                  <c:v>1.7768418665177197</c:v>
                </c:pt>
                <c:pt idx="23">
                  <c:v>1.7653700987120733</c:v>
                </c:pt>
                <c:pt idx="24">
                  <c:v>1.6502257841825929</c:v>
                </c:pt>
                <c:pt idx="25">
                  <c:v>1.5940466710290779</c:v>
                </c:pt>
                <c:pt idx="26">
                  <c:v>1.5752830721959179</c:v>
                </c:pt>
                <c:pt idx="27">
                  <c:v>1.51980822908877</c:v>
                </c:pt>
                <c:pt idx="28">
                  <c:v>1.4544520394093867</c:v>
                </c:pt>
                <c:pt idx="29">
                  <c:v>1.4148249969625819</c:v>
                </c:pt>
                <c:pt idx="30">
                  <c:v>1.2775766698769953</c:v>
                </c:pt>
                <c:pt idx="31">
                  <c:v>1.1172497199076381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88-4A48-8A13-AC9256A6F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27"/>
        <c:axId val="88025600"/>
        <c:axId val="74048640"/>
      </c:barChart>
      <c:catAx>
        <c:axId val="8802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048640"/>
        <c:crosses val="autoZero"/>
        <c:auto val="1"/>
        <c:lblAlgn val="ctr"/>
        <c:lblOffset val="100"/>
        <c:noMultiLvlLbl val="0"/>
      </c:catAx>
      <c:valAx>
        <c:axId val="7404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02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1</xdr:row>
      <xdr:rowOff>152400</xdr:rowOff>
    </xdr:from>
    <xdr:to>
      <xdr:col>22</xdr:col>
      <xdr:colOff>581024</xdr:colOff>
      <xdr:row>28</xdr:row>
      <xdr:rowOff>104775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8</xdr:row>
      <xdr:rowOff>142875</xdr:rowOff>
    </xdr:from>
    <xdr:to>
      <xdr:col>19</xdr:col>
      <xdr:colOff>600074</xdr:colOff>
      <xdr:row>35</xdr:row>
      <xdr:rowOff>95250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I2" sqref="I2"/>
    </sheetView>
  </sheetViews>
  <sheetFormatPr defaultRowHeight="15" x14ac:dyDescent="0.25"/>
  <cols>
    <col min="1" max="1" width="13.85546875" style="6" bestFit="1" customWidth="1"/>
    <col min="2" max="2" width="14" style="6" bestFit="1" customWidth="1"/>
    <col min="3" max="3" width="11.5703125" style="6" bestFit="1" customWidth="1"/>
    <col min="4" max="4" width="11.28515625" style="6" bestFit="1" customWidth="1"/>
    <col min="5" max="5" width="8.28515625" style="6" bestFit="1" customWidth="1"/>
    <col min="6" max="6" width="6.140625" style="6" bestFit="1" customWidth="1"/>
    <col min="7" max="7" width="9.28515625" style="6" bestFit="1" customWidth="1"/>
    <col min="8" max="8" width="8" style="6" bestFit="1" customWidth="1"/>
    <col min="9" max="9" width="9.28515625" style="6" bestFit="1" customWidth="1"/>
    <col min="10" max="16384" width="9.140625" style="6"/>
  </cols>
  <sheetData>
    <row r="1" spans="1:9" x14ac:dyDescent="0.25">
      <c r="B1" s="6" t="s">
        <v>32</v>
      </c>
      <c r="C1" s="6" t="s">
        <v>33</v>
      </c>
      <c r="D1" s="6" t="s">
        <v>69</v>
      </c>
      <c r="E1" s="6" t="s">
        <v>34</v>
      </c>
      <c r="F1" s="6" t="s">
        <v>35</v>
      </c>
      <c r="G1" s="6" t="s">
        <v>36</v>
      </c>
    </row>
    <row r="2" spans="1:9" x14ac:dyDescent="0.25">
      <c r="A2" s="6" t="s">
        <v>55</v>
      </c>
      <c r="B2" s="11">
        <v>0.83324999999884197</v>
      </c>
      <c r="C2" s="11">
        <v>0.57559000000001503</v>
      </c>
      <c r="D2" s="11">
        <f t="shared" ref="D2:D33" si="0">F2+G2</f>
        <v>0.37296000000009499</v>
      </c>
      <c r="E2" s="11">
        <v>0.13893999999999801</v>
      </c>
      <c r="F2" s="11">
        <v>0.121799999999985</v>
      </c>
      <c r="G2" s="11">
        <v>0.25116000000011002</v>
      </c>
      <c r="H2" s="1"/>
      <c r="I2" s="1"/>
    </row>
    <row r="3" spans="1:9" x14ac:dyDescent="0.25">
      <c r="A3" s="6" t="s">
        <v>49</v>
      </c>
      <c r="B3" s="11">
        <v>0.64757999999968696</v>
      </c>
      <c r="C3" s="11">
        <v>0.41136000000027001</v>
      </c>
      <c r="D3" s="11">
        <f t="shared" si="0"/>
        <v>0.20880999999998429</v>
      </c>
      <c r="E3" s="11">
        <v>0.124699999999984</v>
      </c>
      <c r="F3" s="11">
        <v>8.3460000000000298E-2</v>
      </c>
      <c r="G3" s="11">
        <v>0.125349999999984</v>
      </c>
      <c r="H3" s="1"/>
      <c r="I3" s="1"/>
    </row>
    <row r="4" spans="1:9" x14ac:dyDescent="0.25">
      <c r="A4" s="6" t="s">
        <v>46</v>
      </c>
      <c r="B4" s="11">
        <v>0.76385999999915799</v>
      </c>
      <c r="C4" s="11">
        <v>0.41451000000027299</v>
      </c>
      <c r="D4" s="11">
        <f t="shared" si="0"/>
        <v>0.24421999999997701</v>
      </c>
      <c r="E4" s="11">
        <v>8.8079999999998507E-2</v>
      </c>
      <c r="F4" s="11">
        <v>0.130289999999989</v>
      </c>
      <c r="G4" s="11">
        <v>0.113929999999988</v>
      </c>
      <c r="H4" s="1"/>
      <c r="I4" s="1"/>
    </row>
    <row r="5" spans="1:9" x14ac:dyDescent="0.25">
      <c r="A5" s="6" t="s">
        <v>62</v>
      </c>
      <c r="B5" s="11">
        <v>0.79686999999900798</v>
      </c>
      <c r="C5" s="11">
        <v>0.33689000000019598</v>
      </c>
      <c r="D5" s="11">
        <f t="shared" si="0"/>
        <v>0.17732999999999649</v>
      </c>
      <c r="E5" s="11">
        <v>8.9699999999997906E-2</v>
      </c>
      <c r="F5" s="11">
        <v>7.9520000000001798E-2</v>
      </c>
      <c r="G5" s="11">
        <v>9.7809999999994707E-2</v>
      </c>
      <c r="H5" s="1"/>
      <c r="I5" s="1"/>
    </row>
    <row r="6" spans="1:9" x14ac:dyDescent="0.25">
      <c r="A6" s="6" t="s">
        <v>53</v>
      </c>
      <c r="B6" s="11">
        <v>0.55244000000011995</v>
      </c>
      <c r="C6" s="11">
        <v>0.29654000000015501</v>
      </c>
      <c r="D6" s="11">
        <f t="shared" si="0"/>
        <v>0.1666900000000007</v>
      </c>
      <c r="E6" s="11">
        <v>6.5600000000007194E-2</v>
      </c>
      <c r="F6" s="11">
        <v>8.9959999999997806E-2</v>
      </c>
      <c r="G6" s="11">
        <v>7.6730000000002893E-2</v>
      </c>
      <c r="H6" s="1"/>
      <c r="I6" s="1"/>
    </row>
    <row r="7" spans="1:9" x14ac:dyDescent="0.25">
      <c r="A7" s="6" t="s">
        <v>65</v>
      </c>
      <c r="B7" s="11">
        <v>0.53580000000019601</v>
      </c>
      <c r="C7" s="11">
        <v>0.29339000000015197</v>
      </c>
      <c r="D7" s="11">
        <f t="shared" si="0"/>
        <v>0.14249000000000839</v>
      </c>
      <c r="E7" s="11">
        <v>6.9850000000005602E-2</v>
      </c>
      <c r="F7" s="11">
        <v>8.2420000000000701E-2</v>
      </c>
      <c r="G7" s="11">
        <v>6.0070000000007701E-2</v>
      </c>
      <c r="H7" s="1"/>
      <c r="I7" s="1"/>
    </row>
    <row r="8" spans="1:9" x14ac:dyDescent="0.25">
      <c r="A8" s="6" t="s">
        <v>60</v>
      </c>
      <c r="B8" s="11">
        <v>0.59963999999990503</v>
      </c>
      <c r="C8" s="11">
        <v>0.30579000000016499</v>
      </c>
      <c r="D8" s="11">
        <f t="shared" si="0"/>
        <v>0.1455300000000064</v>
      </c>
      <c r="E8" s="11">
        <v>7.3160000000004305E-2</v>
      </c>
      <c r="F8" s="11">
        <v>8.6589999999999098E-2</v>
      </c>
      <c r="G8" s="11">
        <v>5.8940000000007299E-2</v>
      </c>
      <c r="H8" s="1"/>
      <c r="I8" s="1"/>
    </row>
    <row r="9" spans="1:9" x14ac:dyDescent="0.25">
      <c r="A9" s="6" t="s">
        <v>4</v>
      </c>
      <c r="B9" s="11">
        <v>0.55146000000012496</v>
      </c>
      <c r="C9" s="11">
        <v>0.24154000000010001</v>
      </c>
      <c r="D9" s="11">
        <f t="shared" si="0"/>
        <v>9.4240000000007498E-2</v>
      </c>
      <c r="E9" s="11">
        <v>7.3050000000004306E-2</v>
      </c>
      <c r="F9" s="11">
        <v>4.8590000000004199E-2</v>
      </c>
      <c r="G9" s="11">
        <v>4.5650000000003299E-2</v>
      </c>
      <c r="H9" s="1"/>
      <c r="I9" s="1"/>
    </row>
    <row r="10" spans="1:9" x14ac:dyDescent="0.25">
      <c r="A10" s="6" t="s">
        <v>51</v>
      </c>
      <c r="B10" s="11">
        <v>0.44756000000030599</v>
      </c>
      <c r="C10" s="11">
        <v>0.21344000000007199</v>
      </c>
      <c r="D10" s="11">
        <f t="shared" si="0"/>
        <v>0.1079600000000103</v>
      </c>
      <c r="E10" s="11">
        <v>4.67700000000036E-2</v>
      </c>
      <c r="F10" s="11">
        <v>6.4340000000007697E-2</v>
      </c>
      <c r="G10" s="11">
        <v>4.3620000000002601E-2</v>
      </c>
      <c r="H10" s="1"/>
      <c r="I10" s="1"/>
    </row>
    <row r="11" spans="1:9" x14ac:dyDescent="0.25">
      <c r="A11" s="6" t="s">
        <v>67</v>
      </c>
      <c r="B11" s="11">
        <v>0.46420000000032302</v>
      </c>
      <c r="C11" s="11">
        <v>0.23330000000009199</v>
      </c>
      <c r="D11" s="11">
        <f t="shared" si="0"/>
        <v>0.1032700000000089</v>
      </c>
      <c r="E11" s="11">
        <v>5.6730000000006699E-2</v>
      </c>
      <c r="F11" s="11">
        <v>6.4340000000007697E-2</v>
      </c>
      <c r="G11" s="11">
        <v>3.89300000000012E-2</v>
      </c>
      <c r="H11" s="1"/>
      <c r="I11" s="1"/>
    </row>
    <row r="12" spans="1:9" x14ac:dyDescent="0.25">
      <c r="A12" s="6" t="s">
        <v>12</v>
      </c>
      <c r="B12" s="11">
        <v>0.35242000000021101</v>
      </c>
      <c r="C12" s="11">
        <v>0.17150000000002999</v>
      </c>
      <c r="D12" s="11">
        <f t="shared" si="0"/>
        <v>6.1619999999998898E-2</v>
      </c>
      <c r="E12" s="11">
        <v>5.1400000000004997E-2</v>
      </c>
      <c r="F12" s="11">
        <v>3.4539999999999897E-2</v>
      </c>
      <c r="G12" s="11">
        <v>2.7079999999999001E-2</v>
      </c>
      <c r="H12" s="1"/>
      <c r="I12" s="1"/>
    </row>
    <row r="13" spans="1:9" x14ac:dyDescent="0.25">
      <c r="A13" s="6" t="s">
        <v>45</v>
      </c>
      <c r="B13" s="11">
        <v>0.44854000000030703</v>
      </c>
      <c r="C13" s="11">
        <v>0.17560000000003401</v>
      </c>
      <c r="D13" s="11">
        <f t="shared" si="0"/>
        <v>6.0639999999998799E-2</v>
      </c>
      <c r="E13" s="11">
        <v>5.1640000000005098E-2</v>
      </c>
      <c r="F13" s="11">
        <v>3.4239999999999798E-2</v>
      </c>
      <c r="G13" s="11">
        <v>2.6399999999999001E-2</v>
      </c>
      <c r="H13" s="1"/>
      <c r="I13" s="1"/>
    </row>
    <row r="14" spans="1:9" x14ac:dyDescent="0.25">
      <c r="A14" s="6" t="s">
        <v>56</v>
      </c>
      <c r="B14" s="11">
        <v>0.40036000000025901</v>
      </c>
      <c r="C14" s="11">
        <v>0.16752000000002601</v>
      </c>
      <c r="D14" s="11">
        <f t="shared" si="0"/>
        <v>6.3630000000001796E-2</v>
      </c>
      <c r="E14" s="11">
        <v>3.7960000000000903E-2</v>
      </c>
      <c r="F14" s="11">
        <v>4.3080000000002498E-2</v>
      </c>
      <c r="G14" s="11">
        <v>2.0549999999999301E-2</v>
      </c>
      <c r="H14" s="1"/>
      <c r="I14" s="1"/>
    </row>
    <row r="15" spans="1:9" x14ac:dyDescent="0.25">
      <c r="A15" s="6" t="s">
        <v>42</v>
      </c>
      <c r="B15" s="11">
        <v>0.236140000000095</v>
      </c>
      <c r="C15" s="11">
        <v>7.5510000000003394E-2</v>
      </c>
      <c r="D15" s="11">
        <f t="shared" si="0"/>
        <v>2.6209999999999189E-2</v>
      </c>
      <c r="E15" s="11">
        <v>1.43599999999995E-2</v>
      </c>
      <c r="F15" s="11">
        <v>1.9429999999999299E-2</v>
      </c>
      <c r="G15" s="11">
        <v>6.7799999999998903E-3</v>
      </c>
      <c r="H15" s="1"/>
      <c r="I15" s="1"/>
    </row>
    <row r="16" spans="1:9" x14ac:dyDescent="0.25">
      <c r="A16" s="6" t="s">
        <v>59</v>
      </c>
      <c r="B16" s="11">
        <v>0.16675000000002599</v>
      </c>
      <c r="C16" s="11">
        <v>4.9180000000004297E-2</v>
      </c>
      <c r="D16" s="11">
        <f t="shared" si="0"/>
        <v>1.4549999999999681E-2</v>
      </c>
      <c r="E16" s="11">
        <v>1.07199999999997E-2</v>
      </c>
      <c r="F16" s="11">
        <v>1.00399999999997E-2</v>
      </c>
      <c r="G16" s="11">
        <v>4.5099999999999802E-3</v>
      </c>
      <c r="H16" s="1"/>
      <c r="I16" s="1"/>
    </row>
    <row r="17" spans="1:9" x14ac:dyDescent="0.25">
      <c r="A17" s="6" t="s">
        <v>68</v>
      </c>
      <c r="B17" s="11">
        <v>0.20313000000006201</v>
      </c>
      <c r="C17" s="11">
        <v>3.8340000000000998E-2</v>
      </c>
      <c r="D17" s="11">
        <f t="shared" si="0"/>
        <v>9.8499999999998589E-3</v>
      </c>
      <c r="E17" s="11">
        <v>7.3399999999998597E-3</v>
      </c>
      <c r="F17" s="11">
        <v>7.3599999999998597E-3</v>
      </c>
      <c r="G17" s="11">
        <v>2.49E-3</v>
      </c>
      <c r="H17" s="1"/>
      <c r="I17" s="1"/>
    </row>
    <row r="18" spans="1:9" x14ac:dyDescent="0.25">
      <c r="A18" s="6" t="s">
        <v>43</v>
      </c>
      <c r="B18" s="11">
        <v>0</v>
      </c>
      <c r="C18" s="11">
        <v>0</v>
      </c>
      <c r="D18" s="11">
        <f t="shared" si="0"/>
        <v>0</v>
      </c>
      <c r="E18" s="11">
        <v>0</v>
      </c>
      <c r="F18" s="11">
        <v>0</v>
      </c>
      <c r="G18" s="11">
        <v>0</v>
      </c>
      <c r="H18" s="1"/>
      <c r="I18" s="1"/>
    </row>
    <row r="19" spans="1:9" x14ac:dyDescent="0.25">
      <c r="A19" s="6" t="s">
        <v>44</v>
      </c>
      <c r="B19" s="11">
        <v>0</v>
      </c>
      <c r="C19" s="11">
        <v>0</v>
      </c>
      <c r="D19" s="11">
        <f t="shared" si="0"/>
        <v>0</v>
      </c>
      <c r="E19" s="11">
        <v>0</v>
      </c>
      <c r="F19" s="11">
        <v>0</v>
      </c>
      <c r="G19" s="11">
        <v>0</v>
      </c>
      <c r="H19" s="1"/>
      <c r="I19" s="1"/>
    </row>
    <row r="20" spans="1:9" x14ac:dyDescent="0.25">
      <c r="A20" s="6" t="s">
        <v>47</v>
      </c>
      <c r="B20" s="11">
        <v>0</v>
      </c>
      <c r="C20" s="11">
        <v>0</v>
      </c>
      <c r="D20" s="11">
        <f t="shared" si="0"/>
        <v>0</v>
      </c>
      <c r="E20" s="11">
        <v>0</v>
      </c>
      <c r="F20" s="11">
        <v>0</v>
      </c>
      <c r="G20" s="11">
        <v>0</v>
      </c>
      <c r="H20" s="1"/>
      <c r="I20" s="1"/>
    </row>
    <row r="21" spans="1:9" x14ac:dyDescent="0.25">
      <c r="A21" s="6" t="s">
        <v>48</v>
      </c>
      <c r="B21" s="11">
        <v>0</v>
      </c>
      <c r="C21" s="11">
        <v>0</v>
      </c>
      <c r="D21" s="11">
        <f t="shared" si="0"/>
        <v>0</v>
      </c>
      <c r="E21" s="11">
        <v>0</v>
      </c>
      <c r="F21" s="11">
        <v>0</v>
      </c>
      <c r="G21" s="11">
        <v>0</v>
      </c>
      <c r="H21" s="1"/>
      <c r="I21" s="1"/>
    </row>
    <row r="22" spans="1:9" x14ac:dyDescent="0.25">
      <c r="A22" s="6" t="s">
        <v>50</v>
      </c>
      <c r="B22" s="11">
        <v>0</v>
      </c>
      <c r="C22" s="11">
        <v>0</v>
      </c>
      <c r="D22" s="11">
        <f t="shared" si="0"/>
        <v>0</v>
      </c>
      <c r="E22" s="11">
        <v>0</v>
      </c>
      <c r="F22" s="11">
        <v>0</v>
      </c>
      <c r="G22" s="11">
        <v>0</v>
      </c>
      <c r="H22" s="1"/>
      <c r="I22" s="1"/>
    </row>
    <row r="23" spans="1:9" x14ac:dyDescent="0.25">
      <c r="A23" s="6" t="s">
        <v>10</v>
      </c>
      <c r="B23" s="11">
        <v>0</v>
      </c>
      <c r="C23" s="11">
        <v>0</v>
      </c>
      <c r="D23" s="11">
        <f t="shared" si="0"/>
        <v>0</v>
      </c>
      <c r="E23" s="11">
        <v>0</v>
      </c>
      <c r="F23" s="11">
        <v>0</v>
      </c>
      <c r="G23" s="11">
        <v>0</v>
      </c>
      <c r="H23" s="1"/>
      <c r="I23" s="1"/>
    </row>
    <row r="24" spans="1:9" x14ac:dyDescent="0.25">
      <c r="A24" s="6" t="s">
        <v>52</v>
      </c>
      <c r="B24" s="11">
        <v>0</v>
      </c>
      <c r="C24" s="11">
        <v>0</v>
      </c>
      <c r="D24" s="11">
        <f t="shared" si="0"/>
        <v>0</v>
      </c>
      <c r="E24" s="11">
        <v>0</v>
      </c>
      <c r="F24" s="11">
        <v>0</v>
      </c>
      <c r="G24" s="11">
        <v>0</v>
      </c>
      <c r="H24" s="1"/>
      <c r="I24" s="1"/>
    </row>
    <row r="25" spans="1:9" x14ac:dyDescent="0.25">
      <c r="A25" s="6" t="s">
        <v>54</v>
      </c>
      <c r="B25" s="11">
        <v>0</v>
      </c>
      <c r="C25" s="11">
        <v>0</v>
      </c>
      <c r="D25" s="11">
        <f t="shared" si="0"/>
        <v>0</v>
      </c>
      <c r="E25" s="11">
        <v>0</v>
      </c>
      <c r="F25" s="11">
        <v>0</v>
      </c>
      <c r="G25" s="11">
        <v>0</v>
      </c>
      <c r="H25" s="1"/>
      <c r="I25" s="1"/>
    </row>
    <row r="26" spans="1:9" x14ac:dyDescent="0.25">
      <c r="A26" s="6" t="s">
        <v>18</v>
      </c>
      <c r="B26" s="11">
        <v>0</v>
      </c>
      <c r="C26" s="11">
        <v>0</v>
      </c>
      <c r="D26" s="11">
        <f t="shared" si="0"/>
        <v>0</v>
      </c>
      <c r="E26" s="11">
        <v>0</v>
      </c>
      <c r="F26" s="11">
        <v>0</v>
      </c>
      <c r="G26" s="11">
        <v>0</v>
      </c>
      <c r="H26" s="1"/>
      <c r="I26" s="1"/>
    </row>
    <row r="27" spans="1:9" x14ac:dyDescent="0.25">
      <c r="A27" s="6" t="s">
        <v>57</v>
      </c>
      <c r="B27" s="11">
        <v>0</v>
      </c>
      <c r="C27" s="11">
        <v>0</v>
      </c>
      <c r="D27" s="11">
        <f t="shared" si="0"/>
        <v>0</v>
      </c>
      <c r="E27" s="11">
        <v>0</v>
      </c>
      <c r="F27" s="11">
        <v>0</v>
      </c>
      <c r="G27" s="11">
        <v>0</v>
      </c>
      <c r="H27" s="1"/>
      <c r="I27" s="1"/>
    </row>
    <row r="28" spans="1:9" x14ac:dyDescent="0.25">
      <c r="A28" s="6" t="s">
        <v>58</v>
      </c>
      <c r="B28" s="11">
        <v>0</v>
      </c>
      <c r="C28" s="11">
        <v>0</v>
      </c>
      <c r="D28" s="11">
        <f t="shared" si="0"/>
        <v>0</v>
      </c>
      <c r="E28" s="11">
        <v>0</v>
      </c>
      <c r="F28" s="11">
        <v>0</v>
      </c>
      <c r="G28" s="11">
        <v>0</v>
      </c>
      <c r="H28" s="1"/>
      <c r="I28" s="1"/>
    </row>
    <row r="29" spans="1:9" x14ac:dyDescent="0.25">
      <c r="A29" s="6" t="s">
        <v>61</v>
      </c>
      <c r="B29" s="11">
        <v>0</v>
      </c>
      <c r="C29" s="11">
        <v>0</v>
      </c>
      <c r="D29" s="11">
        <f t="shared" si="0"/>
        <v>0</v>
      </c>
      <c r="E29" s="11">
        <v>0</v>
      </c>
      <c r="F29" s="11">
        <v>0</v>
      </c>
      <c r="G29" s="11">
        <v>0</v>
      </c>
      <c r="H29" s="1"/>
      <c r="I29" s="1"/>
    </row>
    <row r="30" spans="1:9" x14ac:dyDescent="0.25">
      <c r="A30" s="6" t="s">
        <v>63</v>
      </c>
      <c r="B30" s="11">
        <v>0</v>
      </c>
      <c r="C30" s="11">
        <v>0</v>
      </c>
      <c r="D30" s="11">
        <f t="shared" si="0"/>
        <v>0</v>
      </c>
      <c r="E30" s="11">
        <v>0</v>
      </c>
      <c r="F30" s="11">
        <v>0</v>
      </c>
      <c r="G30" s="11">
        <v>0</v>
      </c>
      <c r="H30" s="1"/>
      <c r="I30" s="1"/>
    </row>
    <row r="31" spans="1:9" x14ac:dyDescent="0.25">
      <c r="A31" s="6" t="s">
        <v>64</v>
      </c>
      <c r="B31" s="11">
        <v>0</v>
      </c>
      <c r="C31" s="11">
        <v>0</v>
      </c>
      <c r="D31" s="11">
        <f t="shared" si="0"/>
        <v>0</v>
      </c>
      <c r="E31" s="11">
        <v>0</v>
      </c>
      <c r="F31" s="11">
        <v>0</v>
      </c>
      <c r="G31" s="11">
        <v>0</v>
      </c>
      <c r="H31" s="1"/>
      <c r="I31" s="1"/>
    </row>
    <row r="32" spans="1:9" x14ac:dyDescent="0.25">
      <c r="A32" s="6" t="s">
        <v>66</v>
      </c>
      <c r="B32" s="11">
        <v>0</v>
      </c>
      <c r="C32" s="11">
        <v>0</v>
      </c>
      <c r="D32" s="11">
        <f t="shared" si="0"/>
        <v>0</v>
      </c>
      <c r="E32" s="11">
        <v>0</v>
      </c>
      <c r="F32" s="11">
        <v>0</v>
      </c>
      <c r="G32" s="11">
        <v>0</v>
      </c>
      <c r="H32" s="1"/>
      <c r="I32" s="1"/>
    </row>
    <row r="33" spans="1:9" x14ac:dyDescent="0.25">
      <c r="A33" s="6" t="s">
        <v>29</v>
      </c>
      <c r="B33" s="11">
        <v>0</v>
      </c>
      <c r="C33" s="11">
        <v>0</v>
      </c>
      <c r="D33" s="11">
        <f t="shared" si="0"/>
        <v>0</v>
      </c>
      <c r="E33" s="11">
        <v>0</v>
      </c>
      <c r="F33" s="11">
        <v>0</v>
      </c>
      <c r="G33" s="11">
        <v>0</v>
      </c>
      <c r="H33" s="1"/>
      <c r="I33" s="1"/>
    </row>
  </sheetData>
  <sortState ref="A2:G33">
    <sortCondition descending="1" ref="G2:G3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C1" workbookViewId="0">
      <selection activeCell="D2" sqref="D2"/>
    </sheetView>
  </sheetViews>
  <sheetFormatPr defaultRowHeight="15" x14ac:dyDescent="0.25"/>
  <cols>
    <col min="1" max="3" width="12" bestFit="1" customWidth="1"/>
    <col min="5" max="5" width="10.5703125" bestFit="1" customWidth="1"/>
  </cols>
  <sheetData>
    <row r="1" spans="1:11" x14ac:dyDescent="0.25">
      <c r="A1" t="s">
        <v>37</v>
      </c>
      <c r="B1" s="2" t="s">
        <v>38</v>
      </c>
      <c r="C1" s="2" t="s">
        <v>39</v>
      </c>
      <c r="D1" s="2" t="s">
        <v>40</v>
      </c>
      <c r="E1" s="4" t="s">
        <v>41</v>
      </c>
      <c r="F1" s="4" t="s">
        <v>39</v>
      </c>
      <c r="G1" s="4" t="s">
        <v>40</v>
      </c>
    </row>
    <row r="2" spans="1:11" x14ac:dyDescent="0.25">
      <c r="A2" t="s">
        <v>16</v>
      </c>
      <c r="B2" s="3">
        <f t="shared" ref="B2:B33" si="0">SQRT(D2*C2)</f>
        <v>3.4642156356294325</v>
      </c>
      <c r="C2" s="3">
        <v>3.3872588499999998</v>
      </c>
      <c r="D2" s="3">
        <v>3.5429208399999998</v>
      </c>
      <c r="E2" s="5">
        <f t="shared" ref="E2:E13" si="1">B2/$B$14</f>
        <v>1.4817399657031711</v>
      </c>
      <c r="F2" s="5">
        <f t="shared" ref="F2:F13" si="2">C2/$C$14</f>
        <v>1.4359508153845602</v>
      </c>
      <c r="G2" s="5">
        <f t="shared" ref="G2:G13" si="3">D2/$D$14</f>
        <v>1.5289892261205669</v>
      </c>
      <c r="I2" s="13" t="s">
        <v>74</v>
      </c>
    </row>
    <row r="3" spans="1:11" x14ac:dyDescent="0.25">
      <c r="A3" t="s">
        <v>8</v>
      </c>
      <c r="B3" s="3">
        <f t="shared" si="0"/>
        <v>3.0665135744112684</v>
      </c>
      <c r="C3" s="3">
        <v>2.9754214800000001</v>
      </c>
      <c r="D3" s="3">
        <v>3.1603944400000001</v>
      </c>
      <c r="E3" s="5">
        <f t="shared" si="1"/>
        <v>1.311631894921252</v>
      </c>
      <c r="F3" s="5">
        <f t="shared" si="2"/>
        <v>1.2613617941595268</v>
      </c>
      <c r="G3" s="5">
        <f t="shared" si="3"/>
        <v>1.3639054518224412</v>
      </c>
      <c r="I3" s="12" t="s">
        <v>70</v>
      </c>
    </row>
    <row r="4" spans="1:11" x14ac:dyDescent="0.25">
      <c r="A4" t="s">
        <v>5</v>
      </c>
      <c r="B4" s="3">
        <f t="shared" si="0"/>
        <v>2.811934398588078</v>
      </c>
      <c r="C4" s="3">
        <v>3.85164229</v>
      </c>
      <c r="D4" s="3">
        <v>2.0528840599999998</v>
      </c>
      <c r="E4" s="5">
        <f t="shared" si="1"/>
        <v>1.2027414045680276</v>
      </c>
      <c r="F4" s="5">
        <f t="shared" si="2"/>
        <v>1.6328155395904138</v>
      </c>
      <c r="G4" s="5">
        <f t="shared" si="3"/>
        <v>0.88594630023250731</v>
      </c>
      <c r="I4" s="13" t="s">
        <v>72</v>
      </c>
    </row>
    <row r="5" spans="1:11" x14ac:dyDescent="0.25">
      <c r="A5" t="s">
        <v>24</v>
      </c>
      <c r="B5" s="3">
        <f t="shared" si="0"/>
        <v>2.7806864022419036</v>
      </c>
      <c r="C5" s="3">
        <v>3.5082152899999999</v>
      </c>
      <c r="D5" s="3">
        <v>2.2040314599999999</v>
      </c>
      <c r="E5" s="5">
        <f t="shared" si="1"/>
        <v>1.1893757801657636</v>
      </c>
      <c r="F5" s="5">
        <f t="shared" si="2"/>
        <v>1.4872275280113538</v>
      </c>
      <c r="G5" s="5">
        <f t="shared" si="3"/>
        <v>0.9511757413046753</v>
      </c>
      <c r="I5" s="13" t="s">
        <v>73</v>
      </c>
    </row>
    <row r="6" spans="1:11" x14ac:dyDescent="0.25">
      <c r="A6" t="s">
        <v>14</v>
      </c>
      <c r="B6" s="3">
        <f t="shared" si="0"/>
        <v>2.7566088188068196</v>
      </c>
      <c r="C6" s="3">
        <v>2.5527504799999998</v>
      </c>
      <c r="D6" s="3">
        <v>2.97674694</v>
      </c>
      <c r="E6" s="5">
        <f t="shared" si="1"/>
        <v>1.1790771378738745</v>
      </c>
      <c r="F6" s="5">
        <f t="shared" si="2"/>
        <v>1.0821801036048153</v>
      </c>
      <c r="G6" s="5">
        <f t="shared" si="3"/>
        <v>1.2846502097256469</v>
      </c>
      <c r="I6" s="13" t="s">
        <v>71</v>
      </c>
    </row>
    <row r="7" spans="1:11" x14ac:dyDescent="0.25">
      <c r="A7" t="s">
        <v>20</v>
      </c>
      <c r="B7" s="3">
        <f t="shared" si="0"/>
        <v>2.6214900549783051</v>
      </c>
      <c r="C7" s="3">
        <v>3.0427736599999999</v>
      </c>
      <c r="D7" s="3">
        <v>2.2585347699999998</v>
      </c>
      <c r="E7" s="5">
        <f t="shared" si="1"/>
        <v>1.1212831395956062</v>
      </c>
      <c r="F7" s="5">
        <f t="shared" si="2"/>
        <v>1.2899142083893773</v>
      </c>
      <c r="G7" s="5">
        <f t="shared" si="3"/>
        <v>0.97469728681510481</v>
      </c>
    </row>
    <row r="8" spans="1:11" x14ac:dyDescent="0.25">
      <c r="A8" t="s">
        <v>27</v>
      </c>
      <c r="B8" s="3">
        <f t="shared" si="0"/>
        <v>2.5828349440752172</v>
      </c>
      <c r="C8" s="3">
        <v>2.5285152399999999</v>
      </c>
      <c r="D8" s="3">
        <v>2.6383215899999999</v>
      </c>
      <c r="E8" s="5">
        <f t="shared" si="1"/>
        <v>1.1047492893021365</v>
      </c>
      <c r="F8" s="5">
        <f t="shared" si="2"/>
        <v>1.0719061286356333</v>
      </c>
      <c r="G8" s="5">
        <f t="shared" si="3"/>
        <v>1.1385987630904233</v>
      </c>
      <c r="K8" s="14"/>
    </row>
    <row r="9" spans="1:11" x14ac:dyDescent="0.25">
      <c r="A9" t="s">
        <v>22</v>
      </c>
      <c r="B9" s="3">
        <f t="shared" si="0"/>
        <v>2.5575059943417529</v>
      </c>
      <c r="C9" s="3">
        <v>2.69433765</v>
      </c>
      <c r="D9" s="3">
        <v>2.4276233199999999</v>
      </c>
      <c r="E9" s="5">
        <f t="shared" si="1"/>
        <v>1.0939154033501894</v>
      </c>
      <c r="F9" s="5">
        <f t="shared" si="2"/>
        <v>1.1422027417357903</v>
      </c>
      <c r="G9" s="5">
        <f t="shared" si="3"/>
        <v>1.0476694425267039</v>
      </c>
    </row>
    <row r="10" spans="1:11" x14ac:dyDescent="0.25">
      <c r="A10" t="s">
        <v>4</v>
      </c>
      <c r="B10" s="3">
        <f t="shared" si="0"/>
        <v>2.5355684975928683</v>
      </c>
      <c r="C10" s="3">
        <v>2.78687167</v>
      </c>
      <c r="D10" s="3">
        <v>2.3069263200000001</v>
      </c>
      <c r="E10" s="5">
        <f t="shared" si="1"/>
        <v>1.0845321347839996</v>
      </c>
      <c r="F10" s="5">
        <f t="shared" si="2"/>
        <v>1.1814304203260495</v>
      </c>
      <c r="G10" s="5">
        <f t="shared" si="3"/>
        <v>0.99558123029753254</v>
      </c>
    </row>
    <row r="11" spans="1:11" x14ac:dyDescent="0.25">
      <c r="A11" t="s">
        <v>11</v>
      </c>
      <c r="B11" s="3">
        <f t="shared" si="0"/>
        <v>2.5025258497288081</v>
      </c>
      <c r="C11" s="3">
        <v>2.1349281100000002</v>
      </c>
      <c r="D11" s="3">
        <v>2.93341757</v>
      </c>
      <c r="E11" s="5">
        <f t="shared" si="1"/>
        <v>1.0703988887443261</v>
      </c>
      <c r="F11" s="5">
        <f t="shared" si="2"/>
        <v>0.90505387869660991</v>
      </c>
      <c r="G11" s="5">
        <f t="shared" si="3"/>
        <v>1.2659509096575734</v>
      </c>
    </row>
    <row r="12" spans="1:11" x14ac:dyDescent="0.25">
      <c r="A12" t="s">
        <v>30</v>
      </c>
      <c r="B12" s="3">
        <f t="shared" si="0"/>
        <v>2.4318355859793743</v>
      </c>
      <c r="C12" s="3">
        <v>2.4173237799999998</v>
      </c>
      <c r="D12" s="3">
        <v>2.44643451</v>
      </c>
      <c r="E12" s="5">
        <f t="shared" si="1"/>
        <v>1.040162725641101</v>
      </c>
      <c r="F12" s="5">
        <f t="shared" si="2"/>
        <v>1.0247690556449462</v>
      </c>
      <c r="G12" s="5">
        <f t="shared" si="3"/>
        <v>1.0557876331776999</v>
      </c>
    </row>
    <row r="13" spans="1:11" x14ac:dyDescent="0.25">
      <c r="A13" t="s">
        <v>12</v>
      </c>
      <c r="B13" s="3">
        <f t="shared" si="0"/>
        <v>2.4087999009884387</v>
      </c>
      <c r="C13" s="3">
        <v>2.68996228</v>
      </c>
      <c r="D13" s="3">
        <v>2.1570254000000002</v>
      </c>
      <c r="E13" s="5">
        <f t="shared" si="1"/>
        <v>1.0303097318674566</v>
      </c>
      <c r="F13" s="5">
        <f t="shared" si="2"/>
        <v>1.1403479038278137</v>
      </c>
      <c r="G13" s="5">
        <f t="shared" si="3"/>
        <v>0.93088972235360656</v>
      </c>
    </row>
    <row r="14" spans="1:11" x14ac:dyDescent="0.25">
      <c r="A14" t="s">
        <v>3</v>
      </c>
      <c r="B14" s="3">
        <f t="shared" si="0"/>
        <v>2.3379376380561228</v>
      </c>
      <c r="C14" s="3">
        <v>2.3588961500000001</v>
      </c>
      <c r="D14" s="3">
        <v>2.3171653399999999</v>
      </c>
      <c r="E14" s="5">
        <f t="shared" ref="E14" si="4">B14/$B$14</f>
        <v>1</v>
      </c>
      <c r="F14" s="5">
        <f>C14/$C$14</f>
        <v>1</v>
      </c>
      <c r="G14" s="5">
        <f>D14/$D$14</f>
        <v>1</v>
      </c>
    </row>
    <row r="15" spans="1:11" x14ac:dyDescent="0.25">
      <c r="A15" t="s">
        <v>7</v>
      </c>
      <c r="B15" s="3">
        <f t="shared" si="0"/>
        <v>2.2035386724347545</v>
      </c>
      <c r="C15" s="3">
        <v>1.5780912600000001</v>
      </c>
      <c r="D15" s="3">
        <v>3.07687065</v>
      </c>
      <c r="E15" s="5">
        <f t="shared" ref="E15:E33" si="5">B15/$B$14</f>
        <v>0.94251387914131268</v>
      </c>
      <c r="F15" s="5">
        <f t="shared" ref="F15:F33" si="6">C15/$C$14</f>
        <v>0.66899564866388883</v>
      </c>
      <c r="G15" s="5">
        <f t="shared" ref="G15:G33" si="7">D15/$D$14</f>
        <v>1.3278597762902842</v>
      </c>
    </row>
    <row r="16" spans="1:11" x14ac:dyDescent="0.25">
      <c r="A16" t="s">
        <v>17</v>
      </c>
      <c r="B16" s="3">
        <f t="shared" si="0"/>
        <v>2.1997954357418958</v>
      </c>
      <c r="C16" s="3">
        <v>2.3887962699999998</v>
      </c>
      <c r="D16" s="3">
        <v>2.0257482900000001</v>
      </c>
      <c r="E16" s="5">
        <f t="shared" si="5"/>
        <v>0.94091279422273844</v>
      </c>
      <c r="F16" s="5">
        <f t="shared" si="6"/>
        <v>1.0126754711096544</v>
      </c>
      <c r="G16" s="5">
        <f t="shared" si="7"/>
        <v>0.87423553901423379</v>
      </c>
    </row>
    <row r="17" spans="1:7" x14ac:dyDescent="0.25">
      <c r="A17" t="s">
        <v>10</v>
      </c>
      <c r="B17" s="3">
        <f t="shared" si="0"/>
        <v>2.1918186858899076</v>
      </c>
      <c r="C17" s="3">
        <v>2.1298310499999999</v>
      </c>
      <c r="D17" s="3">
        <v>2.2556104399999999</v>
      </c>
      <c r="E17" s="5">
        <f t="shared" si="5"/>
        <v>0.93750091970472504</v>
      </c>
      <c r="F17" s="5">
        <f t="shared" si="6"/>
        <v>0.90289309684107966</v>
      </c>
      <c r="G17" s="5">
        <f t="shared" si="7"/>
        <v>0.9734352577533375</v>
      </c>
    </row>
    <row r="18" spans="1:7" x14ac:dyDescent="0.25">
      <c r="A18" t="s">
        <v>6</v>
      </c>
      <c r="B18" s="3">
        <f t="shared" si="0"/>
        <v>2.089273295044269</v>
      </c>
      <c r="C18" s="3">
        <v>1.8085887599999999</v>
      </c>
      <c r="D18" s="3">
        <v>2.4135187600000001</v>
      </c>
      <c r="E18" s="5">
        <f t="shared" si="5"/>
        <v>0.89363944573876419</v>
      </c>
      <c r="F18" s="5">
        <f t="shared" si="6"/>
        <v>0.76670978499837728</v>
      </c>
      <c r="G18" s="5">
        <f t="shared" si="7"/>
        <v>1.0415824534989808</v>
      </c>
    </row>
    <row r="19" spans="1:7" x14ac:dyDescent="0.25">
      <c r="A19" t="s">
        <v>28</v>
      </c>
      <c r="B19" s="3">
        <f t="shared" si="0"/>
        <v>2.0613170035660415</v>
      </c>
      <c r="C19" s="3">
        <v>2.73301134</v>
      </c>
      <c r="D19" s="3">
        <v>1.55470551</v>
      </c>
      <c r="E19" s="5">
        <f t="shared" si="5"/>
        <v>0.88168177371913248</v>
      </c>
      <c r="F19" s="5">
        <f t="shared" si="6"/>
        <v>1.1585975669170514</v>
      </c>
      <c r="G19" s="5">
        <f t="shared" si="7"/>
        <v>0.67095147815390688</v>
      </c>
    </row>
    <row r="20" spans="1:7" x14ac:dyDescent="0.25">
      <c r="A20" t="s">
        <v>0</v>
      </c>
      <c r="B20" s="3">
        <f t="shared" si="0"/>
        <v>1.976701551772726</v>
      </c>
      <c r="C20" s="3">
        <v>2.5652119299999998</v>
      </c>
      <c r="D20" s="3">
        <v>1.5232071</v>
      </c>
      <c r="E20" s="5">
        <f t="shared" si="5"/>
        <v>0.84548942606367106</v>
      </c>
      <c r="F20" s="5">
        <f t="shared" si="6"/>
        <v>1.0874628499436059</v>
      </c>
      <c r="G20" s="5">
        <f t="shared" si="7"/>
        <v>0.65735796824925763</v>
      </c>
    </row>
    <row r="21" spans="1:7" x14ac:dyDescent="0.25">
      <c r="A21" t="s">
        <v>19</v>
      </c>
      <c r="B21" s="3">
        <f t="shared" si="0"/>
        <v>1.9145863216467522</v>
      </c>
      <c r="C21" s="3">
        <v>2.1824385199999998</v>
      </c>
      <c r="D21" s="3">
        <v>1.67960781</v>
      </c>
      <c r="E21" s="5">
        <f t="shared" si="5"/>
        <v>0.81892103984374631</v>
      </c>
      <c r="F21" s="5">
        <f t="shared" si="6"/>
        <v>0.92519482894573368</v>
      </c>
      <c r="G21" s="5">
        <f t="shared" si="7"/>
        <v>0.72485453713889925</v>
      </c>
    </row>
    <row r="22" spans="1:7" x14ac:dyDescent="0.25">
      <c r="A22" t="s">
        <v>21</v>
      </c>
      <c r="B22" s="3">
        <f t="shared" si="0"/>
        <v>1.8589939411354259</v>
      </c>
      <c r="C22" s="3">
        <v>1.95424547</v>
      </c>
      <c r="D22" s="3">
        <v>1.76838505</v>
      </c>
      <c r="E22" s="5">
        <f t="shared" si="5"/>
        <v>0.79514265516555249</v>
      </c>
      <c r="F22" s="5">
        <f t="shared" si="6"/>
        <v>0.82845761141286356</v>
      </c>
      <c r="G22" s="5">
        <f t="shared" si="7"/>
        <v>0.76316740090717916</v>
      </c>
    </row>
    <row r="23" spans="1:7" x14ac:dyDescent="0.25">
      <c r="A23" t="s">
        <v>29</v>
      </c>
      <c r="B23" s="3">
        <f t="shared" si="0"/>
        <v>1.7900308656104265</v>
      </c>
      <c r="C23" s="3">
        <v>1.73523242</v>
      </c>
      <c r="D23" s="3">
        <v>1.8465598400000001</v>
      </c>
      <c r="E23" s="5">
        <f t="shared" si="5"/>
        <v>0.7656452578002666</v>
      </c>
      <c r="F23" s="5">
        <f t="shared" si="6"/>
        <v>0.7356120446421518</v>
      </c>
      <c r="G23" s="5">
        <f t="shared" si="7"/>
        <v>0.7969046524750798</v>
      </c>
    </row>
    <row r="24" spans="1:7" x14ac:dyDescent="0.25">
      <c r="A24" t="s">
        <v>13</v>
      </c>
      <c r="B24" s="3">
        <f t="shared" si="0"/>
        <v>1.7768418665177197</v>
      </c>
      <c r="C24" s="3">
        <v>2.1067265800000001</v>
      </c>
      <c r="D24" s="3">
        <v>1.4986126099999999</v>
      </c>
      <c r="E24" s="5">
        <f t="shared" si="5"/>
        <v>0.76000396143802795</v>
      </c>
      <c r="F24" s="5">
        <f t="shared" si="6"/>
        <v>0.89309848591681329</v>
      </c>
      <c r="G24" s="5">
        <f t="shared" si="7"/>
        <v>0.64674392635270472</v>
      </c>
    </row>
    <row r="25" spans="1:7" x14ac:dyDescent="0.25">
      <c r="A25" t="s">
        <v>31</v>
      </c>
      <c r="B25" s="3">
        <f t="shared" si="0"/>
        <v>1.7653700987120733</v>
      </c>
      <c r="C25" s="3">
        <v>2.0218541800000001</v>
      </c>
      <c r="D25" s="3">
        <v>1.54142253</v>
      </c>
      <c r="E25" s="5">
        <f t="shared" si="5"/>
        <v>0.75509717195873949</v>
      </c>
      <c r="F25" s="5">
        <f t="shared" si="6"/>
        <v>0.85711877566123462</v>
      </c>
      <c r="G25" s="5">
        <f t="shared" si="7"/>
        <v>0.66521905165386264</v>
      </c>
    </row>
    <row r="26" spans="1:7" x14ac:dyDescent="0.25">
      <c r="A26" t="s">
        <v>23</v>
      </c>
      <c r="B26" s="3">
        <f t="shared" si="0"/>
        <v>1.6502257841825929</v>
      </c>
      <c r="C26" s="3">
        <v>1.57973096</v>
      </c>
      <c r="D26" s="3">
        <v>1.7238664100000001</v>
      </c>
      <c r="E26" s="5">
        <f t="shared" si="5"/>
        <v>0.70584679305418618</v>
      </c>
      <c r="F26" s="5">
        <f t="shared" si="6"/>
        <v>0.66969076192692922</v>
      </c>
      <c r="G26" s="5">
        <f t="shared" si="7"/>
        <v>0.74395485736032985</v>
      </c>
    </row>
    <row r="27" spans="1:7" x14ac:dyDescent="0.25">
      <c r="A27" t="s">
        <v>15</v>
      </c>
      <c r="B27" s="3">
        <f t="shared" si="0"/>
        <v>1.5940466710290779</v>
      </c>
      <c r="C27" s="3">
        <v>1.47540344</v>
      </c>
      <c r="D27" s="3">
        <v>1.7222304900000001</v>
      </c>
      <c r="E27" s="5">
        <f t="shared" si="5"/>
        <v>0.68181744674526368</v>
      </c>
      <c r="F27" s="5">
        <f t="shared" si="6"/>
        <v>0.62546349910317156</v>
      </c>
      <c r="G27" s="5">
        <f t="shared" si="7"/>
        <v>0.7432488568122636</v>
      </c>
    </row>
    <row r="28" spans="1:7" x14ac:dyDescent="0.25">
      <c r="A28" t="s">
        <v>9</v>
      </c>
      <c r="B28" s="3">
        <f t="shared" si="0"/>
        <v>1.5752830721959179</v>
      </c>
      <c r="C28" s="3">
        <v>1.78826357</v>
      </c>
      <c r="D28" s="3">
        <v>1.38766835</v>
      </c>
      <c r="E28" s="5">
        <f t="shared" si="5"/>
        <v>0.67379174129968944</v>
      </c>
      <c r="F28" s="5">
        <f t="shared" si="6"/>
        <v>0.75809338617980282</v>
      </c>
      <c r="G28" s="5">
        <f t="shared" si="7"/>
        <v>0.59886462396334661</v>
      </c>
    </row>
    <row r="29" spans="1:7" x14ac:dyDescent="0.25">
      <c r="A29" t="s">
        <v>18</v>
      </c>
      <c r="B29" s="3">
        <f t="shared" si="0"/>
        <v>1.51980822908877</v>
      </c>
      <c r="C29" s="3">
        <v>1.41021128</v>
      </c>
      <c r="D29" s="3">
        <v>1.6379226899999999</v>
      </c>
      <c r="E29" s="5">
        <f t="shared" si="5"/>
        <v>0.6500636305904266</v>
      </c>
      <c r="F29" s="5">
        <f t="shared" si="6"/>
        <v>0.59782677588413546</v>
      </c>
      <c r="G29" s="5">
        <f t="shared" si="7"/>
        <v>0.70686483252852383</v>
      </c>
    </row>
    <row r="30" spans="1:7" x14ac:dyDescent="0.25">
      <c r="A30" t="s">
        <v>26</v>
      </c>
      <c r="B30" s="3">
        <f t="shared" si="0"/>
        <v>1.4544520394093867</v>
      </c>
      <c r="C30" s="3">
        <v>1.7064704500000001</v>
      </c>
      <c r="D30" s="3">
        <v>1.23965272</v>
      </c>
      <c r="E30" s="5">
        <f t="shared" si="5"/>
        <v>0.62210899714959478</v>
      </c>
      <c r="F30" s="5">
        <f t="shared" si="6"/>
        <v>0.72341906615939833</v>
      </c>
      <c r="G30" s="5">
        <f t="shared" si="7"/>
        <v>0.53498673512870687</v>
      </c>
    </row>
    <row r="31" spans="1:7" x14ac:dyDescent="0.25">
      <c r="A31" t="s">
        <v>2</v>
      </c>
      <c r="B31" s="3">
        <f t="shared" si="0"/>
        <v>1.4148249969625819</v>
      </c>
      <c r="C31" s="3">
        <v>1.3063531799999999</v>
      </c>
      <c r="D31" s="3">
        <v>1.5323036699999999</v>
      </c>
      <c r="E31" s="5">
        <f t="shared" si="5"/>
        <v>0.60515942509866838</v>
      </c>
      <c r="F31" s="5">
        <f t="shared" si="6"/>
        <v>0.55379851291884974</v>
      </c>
      <c r="G31" s="5">
        <f t="shared" si="7"/>
        <v>0.66128370019551563</v>
      </c>
    </row>
    <row r="32" spans="1:7" x14ac:dyDescent="0.25">
      <c r="A32" t="s">
        <v>1</v>
      </c>
      <c r="B32" s="3">
        <f t="shared" si="0"/>
        <v>1.2775766698769953</v>
      </c>
      <c r="C32" s="3">
        <v>1.55569556</v>
      </c>
      <c r="D32" s="3">
        <v>1.0491783800000001</v>
      </c>
      <c r="E32" s="5">
        <f t="shared" si="5"/>
        <v>0.5464545542537379</v>
      </c>
      <c r="F32" s="5">
        <f t="shared" si="6"/>
        <v>0.65950150454906631</v>
      </c>
      <c r="G32" s="5">
        <f t="shared" si="7"/>
        <v>0.45278528980586258</v>
      </c>
    </row>
    <row r="33" spans="1:7" x14ac:dyDescent="0.25">
      <c r="A33" t="s">
        <v>25</v>
      </c>
      <c r="B33" s="3">
        <f t="shared" si="0"/>
        <v>1.1172497199076381</v>
      </c>
      <c r="C33" s="3">
        <v>1.1851774799999999</v>
      </c>
      <c r="D33" s="3">
        <v>1.0532151999999999</v>
      </c>
      <c r="E33" s="5">
        <f t="shared" si="5"/>
        <v>0.47787832392166579</v>
      </c>
      <c r="F33" s="5">
        <f t="shared" si="6"/>
        <v>0.50242885003648841</v>
      </c>
      <c r="G33" s="5">
        <f t="shared" si="7"/>
        <v>0.45452742703289356</v>
      </c>
    </row>
  </sheetData>
  <sortState ref="A2:G33">
    <sortCondition descending="1" ref="B2:B33"/>
  </sortState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F10" sqref="F10"/>
    </sheetView>
  </sheetViews>
  <sheetFormatPr defaultRowHeight="15" x14ac:dyDescent="0.25"/>
  <cols>
    <col min="1" max="1" width="16.7109375" bestFit="1" customWidth="1"/>
    <col min="4" max="4" width="12.5703125" customWidth="1"/>
    <col min="5" max="5" width="3.7109375" bestFit="1" customWidth="1"/>
    <col min="6" max="6" width="6" customWidth="1"/>
    <col min="12" max="12" width="10.140625" bestFit="1" customWidth="1"/>
  </cols>
  <sheetData>
    <row r="1" spans="1:12" x14ac:dyDescent="0.25">
      <c r="A1" t="s">
        <v>16</v>
      </c>
      <c r="B1" s="3">
        <f>VLOOKUP(A1,Ranking!A:D,3,FALSE)</f>
        <v>3.3872588499999998</v>
      </c>
      <c r="C1" s="3">
        <f>VLOOKUP(A1,Ranking!A:D,4,FALSE)</f>
        <v>3.5429208399999998</v>
      </c>
    </row>
    <row r="2" spans="1:12" x14ac:dyDescent="0.25">
      <c r="A2" t="s">
        <v>21</v>
      </c>
      <c r="B2" s="3">
        <f>VLOOKUP(A2,Ranking!A:D,3,FALSE)</f>
        <v>1.95424547</v>
      </c>
      <c r="C2" s="3">
        <f>VLOOKUP(A2,Ranking!A:D,4,FALSE)</f>
        <v>1.76838505</v>
      </c>
    </row>
    <row r="3" spans="1:12" x14ac:dyDescent="0.25">
      <c r="E3" s="7"/>
      <c r="F3" s="7"/>
      <c r="G3" s="15" t="str">
        <f>A1</f>
        <v>Brazil</v>
      </c>
      <c r="H3" s="15"/>
      <c r="I3" s="15"/>
      <c r="J3" s="15"/>
      <c r="K3" s="15"/>
      <c r="L3" t="str">
        <f>CONCATENATE("Vitória do ", A1)</f>
        <v>Vitória do Brazil</v>
      </c>
    </row>
    <row r="4" spans="1:12" x14ac:dyDescent="0.25">
      <c r="E4" s="7"/>
      <c r="F4" s="7"/>
      <c r="G4" s="17">
        <v>0</v>
      </c>
      <c r="H4" s="17">
        <v>1</v>
      </c>
      <c r="I4" s="17">
        <v>2</v>
      </c>
      <c r="J4" s="17">
        <v>3</v>
      </c>
      <c r="K4" s="17">
        <v>4</v>
      </c>
      <c r="L4" s="9">
        <f>SUM(H5:K5,I6:K6,J7:K7,K8)</f>
        <v>0.65566082275919546</v>
      </c>
    </row>
    <row r="5" spans="1:12" x14ac:dyDescent="0.25">
      <c r="E5" s="16" t="str">
        <f>A2</f>
        <v>Mexico</v>
      </c>
      <c r="F5" s="17">
        <v>0</v>
      </c>
      <c r="G5" s="8">
        <f t="shared" ref="G5:K9" si="0">_xlfn.POISSON.DIST(G$4,$B$1/$C$2,FALSE)*_xlfn.POISSON.DIST($F5,$B$2/$C$1,FALSE)</f>
        <v>8.4835189348467011E-2</v>
      </c>
      <c r="H5" s="10">
        <f t="shared" si="0"/>
        <v>0.16249783717184252</v>
      </c>
      <c r="I5" s="8">
        <f t="shared" si="0"/>
        <v>0.15562850326804747</v>
      </c>
      <c r="J5" s="8">
        <f t="shared" si="0"/>
        <v>9.936637291502165E-2</v>
      </c>
      <c r="K5" s="8">
        <f t="shared" si="0"/>
        <v>4.7582909905397507E-2</v>
      </c>
      <c r="L5" s="19"/>
    </row>
    <row r="6" spans="1:12" x14ac:dyDescent="0.25">
      <c r="E6" s="16"/>
      <c r="F6" s="17">
        <v>1</v>
      </c>
      <c r="G6" s="8">
        <f t="shared" si="0"/>
        <v>4.6794380108372363E-2</v>
      </c>
      <c r="H6" s="8">
        <f t="shared" si="0"/>
        <v>8.963244636814148E-2</v>
      </c>
      <c r="I6" s="8">
        <f t="shared" si="0"/>
        <v>8.5843379304647943E-2</v>
      </c>
      <c r="J6" s="8">
        <f t="shared" si="0"/>
        <v>5.4809659292165198E-2</v>
      </c>
      <c r="K6" s="8">
        <f t="shared" si="0"/>
        <v>2.6246334685829785E-2</v>
      </c>
    </row>
    <row r="7" spans="1:12" x14ac:dyDescent="0.25">
      <c r="E7" s="16"/>
      <c r="F7" s="17">
        <v>2</v>
      </c>
      <c r="G7" s="8">
        <f t="shared" si="0"/>
        <v>1.2905694126127411E-2</v>
      </c>
      <c r="H7" s="8">
        <f t="shared" si="0"/>
        <v>2.4720253456179172E-2</v>
      </c>
      <c r="I7" s="8">
        <f t="shared" si="0"/>
        <v>2.367524462324707E-2</v>
      </c>
      <c r="J7" s="8">
        <f t="shared" si="0"/>
        <v>1.5116274568522006E-2</v>
      </c>
      <c r="K7" s="8">
        <f t="shared" si="0"/>
        <v>7.2386292243389111E-3</v>
      </c>
    </row>
    <row r="8" spans="1:12" x14ac:dyDescent="0.25">
      <c r="E8" s="16"/>
      <c r="F8" s="17">
        <v>3</v>
      </c>
      <c r="G8" s="8">
        <f t="shared" si="0"/>
        <v>2.3728909396302988E-3</v>
      </c>
      <c r="H8" s="8">
        <f t="shared" si="0"/>
        <v>4.5451616068273946E-3</v>
      </c>
      <c r="I8" s="8">
        <f t="shared" si="0"/>
        <v>4.3530222327445925E-3</v>
      </c>
      <c r="J8" s="8">
        <f t="shared" si="0"/>
        <v>2.7793368271446083E-3</v>
      </c>
      <c r="K8" s="8">
        <f t="shared" si="0"/>
        <v>1.3309224233823535E-3</v>
      </c>
    </row>
    <row r="9" spans="1:12" x14ac:dyDescent="0.25">
      <c r="D9" s="18"/>
      <c r="E9" s="16"/>
      <c r="F9" s="17">
        <v>4</v>
      </c>
      <c r="G9" s="8">
        <f t="shared" si="0"/>
        <v>3.272166934427298E-4</v>
      </c>
      <c r="H9" s="8">
        <f t="shared" si="0"/>
        <v>6.2676827127192873E-4</v>
      </c>
      <c r="I9" s="8">
        <f t="shared" si="0"/>
        <v>6.0027265378799759E-4</v>
      </c>
      <c r="J9" s="8">
        <f t="shared" si="0"/>
        <v>3.8326473052468233E-4</v>
      </c>
      <c r="K9" s="8">
        <f t="shared" si="0"/>
        <v>1.835314161871301E-4</v>
      </c>
      <c r="L9" t="s">
        <v>75</v>
      </c>
    </row>
    <row r="10" spans="1:12" x14ac:dyDescent="0.25">
      <c r="D10" t="str">
        <f>CONCATENATE("Vitória do ", A2)</f>
        <v>Vitória do Mexico</v>
      </c>
      <c r="F10" s="9">
        <f>SUM(G6:G9,H7:H9,I8:I9,J9)</f>
        <v>9.7628924818908586E-2</v>
      </c>
      <c r="L10" s="9">
        <f>1-F10-L4</f>
        <v>0.24671025242189593</v>
      </c>
    </row>
  </sheetData>
  <mergeCells count="2">
    <mergeCell ref="G3:K3"/>
    <mergeCell ref="E5:E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Probabilidades_grafico</vt:lpstr>
      <vt:lpstr>Ranking</vt:lpstr>
      <vt:lpstr>PrevConfrontos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Cezar</dc:creator>
  <cp:lastModifiedBy>João Marcos</cp:lastModifiedBy>
  <dcterms:created xsi:type="dcterms:W3CDTF">2018-05-12T02:25:48Z</dcterms:created>
  <dcterms:modified xsi:type="dcterms:W3CDTF">2018-06-29T21:39:40Z</dcterms:modified>
</cp:coreProperties>
</file>